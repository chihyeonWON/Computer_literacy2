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/>
  <mc:AlternateContent xmlns:mc="http://schemas.openxmlformats.org/markup-compatibility/2006">
    <mc:Choice Requires="x15">
      <x15ac:absPath xmlns:x15ac="http://schemas.microsoft.com/office/spreadsheetml/2010/11/ac" url="C:\Users\ylose\Desktop\"/>
    </mc:Choice>
  </mc:AlternateContent>
  <xr:revisionPtr revIDLastSave="0" documentId="13_ncr:1_{884E19A8-08AD-4F6C-9C4E-3CF0B426E319}" xr6:coauthVersionLast="47" xr6:coauthVersionMax="47" xr10:uidLastSave="{00000000-0000-0000-0000-000000000000}"/>
  <bookViews>
    <workbookView xWindow="-108" yWindow="-108" windowWidth="23256" windowHeight="13176" activeTab="3" xr2:uid="{00000000-000D-0000-FFFF-FFFF00000000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시나리오 요약" sheetId="9" r:id="rId6"/>
    <sheet name="분석작업-2" sheetId="6" r:id="rId7"/>
    <sheet name="매크로작업" sheetId="8" r:id="rId8"/>
    <sheet name="차트작업" sheetId="7" r:id="rId9"/>
  </sheets>
  <definedNames>
    <definedName name="상품코드">'기본작업-2'!$B$4:$B$15</definedName>
    <definedName name="총구매금액">'분석작업-2'!$G$13</definedName>
    <definedName name="환율">'분석작업-2'!$G$2</definedName>
  </definedNames>
  <calcPr calcId="191029"/>
  <pivotCaches>
    <pivotCache cacheId="3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9" i="4" l="1"/>
  <c r="D39" i="4"/>
  <c r="J14" i="4"/>
  <c r="J15" i="4"/>
  <c r="J16" i="4"/>
  <c r="J17" i="4"/>
  <c r="J18" i="4"/>
  <c r="J19" i="4"/>
  <c r="J20" i="4"/>
  <c r="J13" i="4"/>
  <c r="D23" i="4"/>
  <c r="H5" i="4"/>
  <c r="H6" i="4"/>
  <c r="H7" i="4"/>
  <c r="H8" i="4"/>
  <c r="H9" i="4"/>
  <c r="H4" i="4"/>
  <c r="D4" i="4"/>
  <c r="D5" i="4"/>
  <c r="D6" i="4"/>
  <c r="D7" i="4"/>
  <c r="D8" i="4"/>
  <c r="D9" i="4"/>
  <c r="D3" i="4"/>
  <c r="G5" i="6"/>
  <c r="G6" i="6"/>
  <c r="G7" i="6"/>
  <c r="G8" i="6"/>
  <c r="G9" i="6"/>
  <c r="G10" i="6"/>
  <c r="G11" i="6"/>
  <c r="G12" i="6"/>
  <c r="G4" i="6"/>
  <c r="G13" i="6" l="1"/>
  <c r="E29" i="4"/>
  <c r="E30" i="4"/>
  <c r="E31" i="4"/>
  <c r="E32" i="4"/>
  <c r="E33" i="4"/>
  <c r="E34" i="4"/>
  <c r="E35" i="4"/>
  <c r="E36" i="4"/>
  <c r="E28" i="4"/>
  <c r="D13" i="4"/>
  <c r="D14" i="4"/>
  <c r="D15" i="4"/>
  <c r="D16" i="4"/>
  <c r="D17" i="4"/>
  <c r="D18" i="4"/>
  <c r="D19" i="4"/>
  <c r="D20" i="4"/>
</calcChain>
</file>

<file path=xl/sharedStrings.xml><?xml version="1.0" encoding="utf-8"?>
<sst xmlns="http://schemas.openxmlformats.org/spreadsheetml/2006/main" count="321" uniqueCount="272">
  <si>
    <t>구분</t>
    <phoneticPr fontId="1" type="noConversion"/>
  </si>
  <si>
    <t>어린이 체험단 신청 현황</t>
    <phoneticPr fontId="1" type="noConversion"/>
  </si>
  <si>
    <t>분류</t>
    <phoneticPr fontId="1" type="noConversion"/>
  </si>
  <si>
    <t>뷰티</t>
    <phoneticPr fontId="1" type="noConversion"/>
  </si>
  <si>
    <t>식품</t>
    <phoneticPr fontId="1" type="noConversion"/>
  </si>
  <si>
    <t>건강</t>
    <phoneticPr fontId="1" type="noConversion"/>
  </si>
  <si>
    <t>생활</t>
    <phoneticPr fontId="1" type="noConversion"/>
  </si>
  <si>
    <t>순수물티슈</t>
    <phoneticPr fontId="1" type="noConversion"/>
  </si>
  <si>
    <t>촉촉바디로션</t>
    <phoneticPr fontId="1" type="noConversion"/>
  </si>
  <si>
    <t>볼륨업샴푸</t>
    <phoneticPr fontId="1" type="noConversion"/>
  </si>
  <si>
    <t>리얼아이크림</t>
    <phoneticPr fontId="1" type="noConversion"/>
  </si>
  <si>
    <t>마녀폼클렌징</t>
    <phoneticPr fontId="1" type="noConversion"/>
  </si>
  <si>
    <t>레드에센스</t>
    <phoneticPr fontId="1" type="noConversion"/>
  </si>
  <si>
    <t>통통삼겹살</t>
    <phoneticPr fontId="1" type="noConversion"/>
  </si>
  <si>
    <t>건강한견과</t>
    <phoneticPr fontId="1" type="noConversion"/>
  </si>
  <si>
    <t>생생루테인</t>
    <phoneticPr fontId="1" type="noConversion"/>
  </si>
  <si>
    <t>장안에유산균</t>
    <phoneticPr fontId="1" type="noConversion"/>
  </si>
  <si>
    <t>슈퍼오메가</t>
    <phoneticPr fontId="1" type="noConversion"/>
  </si>
  <si>
    <t>총액</t>
    <phoneticPr fontId="1" type="noConversion"/>
  </si>
  <si>
    <t>업체명</t>
    <phoneticPr fontId="1" type="noConversion"/>
  </si>
  <si>
    <t>단가</t>
    <phoneticPr fontId="1" type="noConversion"/>
  </si>
  <si>
    <t>수량</t>
    <phoneticPr fontId="1" type="noConversion"/>
  </si>
  <si>
    <t>상공마트 상품 입고 현황</t>
    <phoneticPr fontId="1" type="noConversion"/>
  </si>
  <si>
    <t>LF-2914</t>
    <phoneticPr fontId="1" type="noConversion"/>
  </si>
  <si>
    <t>LF-9066</t>
    <phoneticPr fontId="1" type="noConversion"/>
  </si>
  <si>
    <t>LF-5837</t>
    <phoneticPr fontId="1" type="noConversion"/>
  </si>
  <si>
    <t>BT-4610</t>
    <phoneticPr fontId="1" type="noConversion"/>
  </si>
  <si>
    <t>BT-9020</t>
    <phoneticPr fontId="1" type="noConversion"/>
  </si>
  <si>
    <t>BT-5842</t>
    <phoneticPr fontId="1" type="noConversion"/>
  </si>
  <si>
    <t>FD-7257</t>
    <phoneticPr fontId="1" type="noConversion"/>
  </si>
  <si>
    <t>FD-4884</t>
    <phoneticPr fontId="1" type="noConversion"/>
  </si>
  <si>
    <t>FD-6174</t>
    <phoneticPr fontId="1" type="noConversion"/>
  </si>
  <si>
    <t>HS-9033</t>
    <phoneticPr fontId="1" type="noConversion"/>
  </si>
  <si>
    <t>HS-1925</t>
    <phoneticPr fontId="1" type="noConversion"/>
  </si>
  <si>
    <t>HS-2178</t>
    <phoneticPr fontId="1" type="noConversion"/>
  </si>
  <si>
    <t>튼튼건강</t>
    <phoneticPr fontId="1" type="noConversion"/>
  </si>
  <si>
    <t>한울약품</t>
    <phoneticPr fontId="1" type="noConversion"/>
  </si>
  <si>
    <t>한성산업</t>
    <phoneticPr fontId="1" type="noConversion"/>
  </si>
  <si>
    <t>유명물산</t>
    <phoneticPr fontId="1" type="noConversion"/>
  </si>
  <si>
    <t>포레스트</t>
    <phoneticPr fontId="1" type="noConversion"/>
  </si>
  <si>
    <t>뷰티그린</t>
    <phoneticPr fontId="1" type="noConversion"/>
  </si>
  <si>
    <t>해브앤유</t>
    <phoneticPr fontId="1" type="noConversion"/>
  </si>
  <si>
    <t>티오화학</t>
    <phoneticPr fontId="1" type="noConversion"/>
  </si>
  <si>
    <t>우리목장</t>
    <phoneticPr fontId="1" type="noConversion"/>
  </si>
  <si>
    <t>다온미트</t>
    <phoneticPr fontId="1" type="noConversion"/>
  </si>
  <si>
    <t>넛츠피아</t>
    <phoneticPr fontId="1" type="noConversion"/>
  </si>
  <si>
    <t>피바이오</t>
    <phoneticPr fontId="1" type="noConversion"/>
  </si>
  <si>
    <t>신선우유</t>
    <phoneticPr fontId="1" type="noConversion"/>
  </si>
  <si>
    <t>상품코드</t>
    <phoneticPr fontId="1" type="noConversion"/>
  </si>
  <si>
    <t>상품명</t>
    <phoneticPr fontId="1" type="noConversion"/>
  </si>
  <si>
    <t>제품코드</t>
    <phoneticPr fontId="1" type="noConversion"/>
  </si>
  <si>
    <t>MK29813</t>
    <phoneticPr fontId="1" type="noConversion"/>
  </si>
  <si>
    <t>원료</t>
    <phoneticPr fontId="1" type="noConversion"/>
  </si>
  <si>
    <t>완제품</t>
    <phoneticPr fontId="1" type="noConversion"/>
  </si>
  <si>
    <t>점유율</t>
    <phoneticPr fontId="1" type="noConversion"/>
  </si>
  <si>
    <t>2019년</t>
    <phoneticPr fontId="1" type="noConversion"/>
  </si>
  <si>
    <t>2020년</t>
    <phoneticPr fontId="1" type="noConversion"/>
  </si>
  <si>
    <t>PH66678</t>
    <phoneticPr fontId="1" type="noConversion"/>
  </si>
  <si>
    <t>SN59632</t>
    <phoneticPr fontId="1" type="noConversion"/>
  </si>
  <si>
    <t>CM10076</t>
    <phoneticPr fontId="1" type="noConversion"/>
  </si>
  <si>
    <t>ER46299</t>
    <phoneticPr fontId="1" type="noConversion"/>
  </si>
  <si>
    <t>GA76051</t>
    <phoneticPr fontId="1" type="noConversion"/>
  </si>
  <si>
    <t>DF84460</t>
    <phoneticPr fontId="1" type="noConversion"/>
  </si>
  <si>
    <t>TG31883</t>
    <phoneticPr fontId="1" type="noConversion"/>
  </si>
  <si>
    <t>WL55079</t>
    <phoneticPr fontId="1" type="noConversion"/>
  </si>
  <si>
    <t>완제품 점유율 현황</t>
    <phoneticPr fontId="1" type="noConversion"/>
  </si>
  <si>
    <t>사내 하프 마라톤</t>
    <phoneticPr fontId="1" type="noConversion"/>
  </si>
  <si>
    <t>참가번호</t>
    <phoneticPr fontId="1" type="noConversion"/>
  </si>
  <si>
    <t>선수명</t>
    <phoneticPr fontId="1" type="noConversion"/>
  </si>
  <si>
    <t>기록</t>
    <phoneticPr fontId="1" type="noConversion"/>
  </si>
  <si>
    <t>순위</t>
    <phoneticPr fontId="1" type="noConversion"/>
  </si>
  <si>
    <t>이종혁</t>
    <phoneticPr fontId="1" type="noConversion"/>
  </si>
  <si>
    <t>박준형</t>
    <phoneticPr fontId="1" type="noConversion"/>
  </si>
  <si>
    <t>김희재</t>
    <phoneticPr fontId="1" type="noConversion"/>
  </si>
  <si>
    <t>김한순</t>
    <phoneticPr fontId="1" type="noConversion"/>
  </si>
  <si>
    <t>고회식</t>
    <phoneticPr fontId="1" type="noConversion"/>
  </si>
  <si>
    <t>지승대</t>
    <phoneticPr fontId="1" type="noConversion"/>
  </si>
  <si>
    <t>박해수</t>
    <phoneticPr fontId="1" type="noConversion"/>
  </si>
  <si>
    <t>[표2]</t>
    <phoneticPr fontId="1" type="noConversion"/>
  </si>
  <si>
    <t>회원명</t>
    <phoneticPr fontId="1" type="noConversion"/>
  </si>
  <si>
    <t>가입일</t>
    <phoneticPr fontId="1" type="noConversion"/>
  </si>
  <si>
    <t>등급</t>
    <phoneticPr fontId="1" type="noConversion"/>
  </si>
  <si>
    <t>이연희</t>
    <phoneticPr fontId="1" type="noConversion"/>
  </si>
  <si>
    <t>박장훈</t>
    <phoneticPr fontId="1" type="noConversion"/>
  </si>
  <si>
    <t>강동엽</t>
    <phoneticPr fontId="1" type="noConversion"/>
  </si>
  <si>
    <t>유승희</t>
    <phoneticPr fontId="1" type="noConversion"/>
  </si>
  <si>
    <t>황진주</t>
    <phoneticPr fontId="1" type="noConversion"/>
  </si>
  <si>
    <t>어수한</t>
    <phoneticPr fontId="1" type="noConversion"/>
  </si>
  <si>
    <t>[표1]</t>
    <phoneticPr fontId="1" type="noConversion"/>
  </si>
  <si>
    <t>[표3]</t>
    <phoneticPr fontId="1" type="noConversion"/>
  </si>
  <si>
    <t>사원명</t>
    <phoneticPr fontId="1" type="noConversion"/>
  </si>
  <si>
    <t>지점</t>
    <phoneticPr fontId="1" type="noConversion"/>
  </si>
  <si>
    <t>수량</t>
    <phoneticPr fontId="1" type="noConversion"/>
  </si>
  <si>
    <t>판매금액</t>
    <phoneticPr fontId="1" type="noConversion"/>
  </si>
  <si>
    <t>남부</t>
    <phoneticPr fontId="1" type="noConversion"/>
  </si>
  <si>
    <t>남부</t>
    <phoneticPr fontId="1" type="noConversion"/>
  </si>
  <si>
    <t>북부</t>
    <phoneticPr fontId="1" type="noConversion"/>
  </si>
  <si>
    <t>북부</t>
    <phoneticPr fontId="1" type="noConversion"/>
  </si>
  <si>
    <t>북부</t>
    <phoneticPr fontId="1" type="noConversion"/>
  </si>
  <si>
    <t>오세민</t>
  </si>
  <si>
    <t>권지애</t>
  </si>
  <si>
    <t>이세훈</t>
    <phoneticPr fontId="1" type="noConversion"/>
  </si>
  <si>
    <t>한범준</t>
    <phoneticPr fontId="1" type="noConversion"/>
  </si>
  <si>
    <t>신솔지</t>
    <phoneticPr fontId="1" type="noConversion"/>
  </si>
  <si>
    <t>조현우</t>
    <phoneticPr fontId="1" type="noConversion"/>
  </si>
  <si>
    <t>이명복</t>
    <phoneticPr fontId="1" type="noConversion"/>
  </si>
  <si>
    <t>권지향</t>
    <phoneticPr fontId="1" type="noConversion"/>
  </si>
  <si>
    <t>평균판매금액</t>
    <phoneticPr fontId="1" type="noConversion"/>
  </si>
  <si>
    <t>북부</t>
    <phoneticPr fontId="1" type="noConversion"/>
  </si>
  <si>
    <t>업무능력</t>
    <phoneticPr fontId="1" type="noConversion"/>
  </si>
  <si>
    <t>대인관계</t>
    <phoneticPr fontId="1" type="noConversion"/>
  </si>
  <si>
    <t>회화능력</t>
    <phoneticPr fontId="1" type="noConversion"/>
  </si>
  <si>
    <t>평가</t>
    <phoneticPr fontId="1" type="noConversion"/>
  </si>
  <si>
    <t>&lt;평가기준표&gt;</t>
    <phoneticPr fontId="1" type="noConversion"/>
  </si>
  <si>
    <t>점수</t>
    <phoneticPr fontId="1" type="noConversion"/>
  </si>
  <si>
    <t>미흡</t>
    <phoneticPr fontId="1" type="noConversion"/>
  </si>
  <si>
    <t>보통</t>
    <phoneticPr fontId="1" type="noConversion"/>
  </si>
  <si>
    <t>양호</t>
    <phoneticPr fontId="1" type="noConversion"/>
  </si>
  <si>
    <t>우수</t>
    <phoneticPr fontId="1" type="noConversion"/>
  </si>
  <si>
    <t>최성욱</t>
    <phoneticPr fontId="1" type="noConversion"/>
  </si>
  <si>
    <t>강수진</t>
    <phoneticPr fontId="1" type="noConversion"/>
  </si>
  <si>
    <t>고혜란</t>
    <phoneticPr fontId="1" type="noConversion"/>
  </si>
  <si>
    <t>김은주</t>
    <phoneticPr fontId="1" type="noConversion"/>
  </si>
  <si>
    <t>이경원</t>
    <phoneticPr fontId="1" type="noConversion"/>
  </si>
  <si>
    <t>임선호</t>
    <phoneticPr fontId="1" type="noConversion"/>
  </si>
  <si>
    <t>김상욱</t>
    <phoneticPr fontId="1" type="noConversion"/>
  </si>
  <si>
    <t>이상희</t>
    <phoneticPr fontId="1" type="noConversion"/>
  </si>
  <si>
    <t>[표4]</t>
    <phoneticPr fontId="1" type="noConversion"/>
  </si>
  <si>
    <t>[표5]</t>
    <phoneticPr fontId="1" type="noConversion"/>
  </si>
  <si>
    <t>사원 평가 현황</t>
    <phoneticPr fontId="1" type="noConversion"/>
  </si>
  <si>
    <t>사원 판매 현황</t>
    <phoneticPr fontId="1" type="noConversion"/>
  </si>
  <si>
    <t>상공클럽 가입 현황</t>
    <phoneticPr fontId="1" type="noConversion"/>
  </si>
  <si>
    <t>화장품 판매 현황</t>
    <phoneticPr fontId="1" type="noConversion"/>
  </si>
  <si>
    <t>제품ID</t>
    <phoneticPr fontId="1" type="noConversion"/>
  </si>
  <si>
    <t>제조국</t>
    <phoneticPr fontId="1" type="noConversion"/>
  </si>
  <si>
    <t>분류</t>
    <phoneticPr fontId="1" type="noConversion"/>
  </si>
  <si>
    <t>판매량</t>
    <phoneticPr fontId="1" type="noConversion"/>
  </si>
  <si>
    <t>매출액</t>
    <phoneticPr fontId="1" type="noConversion"/>
  </si>
  <si>
    <t>프랑스</t>
  </si>
  <si>
    <t>남성</t>
    <phoneticPr fontId="1" type="noConversion"/>
  </si>
  <si>
    <t>A293</t>
    <phoneticPr fontId="1" type="noConversion"/>
  </si>
  <si>
    <t>S351</t>
    <phoneticPr fontId="1" type="noConversion"/>
  </si>
  <si>
    <t>D687</t>
    <phoneticPr fontId="1" type="noConversion"/>
  </si>
  <si>
    <t>K902</t>
    <phoneticPr fontId="1" type="noConversion"/>
  </si>
  <si>
    <t>B325</t>
    <phoneticPr fontId="1" type="noConversion"/>
  </si>
  <si>
    <t>C674</t>
    <phoneticPr fontId="1" type="noConversion"/>
  </si>
  <si>
    <t>M110</t>
    <phoneticPr fontId="1" type="noConversion"/>
  </si>
  <si>
    <t>P728</t>
    <phoneticPr fontId="1" type="noConversion"/>
  </si>
  <si>
    <t>프랑스</t>
    <phoneticPr fontId="1" type="noConversion"/>
  </si>
  <si>
    <t>미국</t>
    <phoneticPr fontId="1" type="noConversion"/>
  </si>
  <si>
    <t>여성</t>
    <phoneticPr fontId="1" type="noConversion"/>
  </si>
  <si>
    <t>캐나다</t>
    <phoneticPr fontId="1" type="noConversion"/>
  </si>
  <si>
    <t>남성</t>
    <phoneticPr fontId="1" type="noConversion"/>
  </si>
  <si>
    <t>H594</t>
    <phoneticPr fontId="1" type="noConversion"/>
  </si>
  <si>
    <t>판매량합계</t>
    <phoneticPr fontId="1" type="noConversion"/>
  </si>
  <si>
    <t>매출액합계</t>
    <phoneticPr fontId="1" type="noConversion"/>
  </si>
  <si>
    <t>거래소별 종목 거래 현황</t>
    <phoneticPr fontId="1" type="noConversion"/>
  </si>
  <si>
    <t>거래소</t>
    <phoneticPr fontId="1" type="noConversion"/>
  </si>
  <si>
    <t>주체</t>
    <phoneticPr fontId="1" type="noConversion"/>
  </si>
  <si>
    <t>종목코드</t>
    <phoneticPr fontId="1" type="noConversion"/>
  </si>
  <si>
    <t>거래량</t>
    <phoneticPr fontId="1" type="noConversion"/>
  </si>
  <si>
    <t>거래액</t>
    <phoneticPr fontId="1" type="noConversion"/>
  </si>
  <si>
    <t>단위 : 거래량(천), 거래액(천원)</t>
    <phoneticPr fontId="1" type="noConversion"/>
  </si>
  <si>
    <t>코스피</t>
    <phoneticPr fontId="1" type="noConversion"/>
  </si>
  <si>
    <t>외국인</t>
    <phoneticPr fontId="1" type="noConversion"/>
  </si>
  <si>
    <t>매도</t>
    <phoneticPr fontId="1" type="noConversion"/>
  </si>
  <si>
    <t>코스닥</t>
    <phoneticPr fontId="1" type="noConversion"/>
  </si>
  <si>
    <t>기관</t>
    <phoneticPr fontId="1" type="noConversion"/>
  </si>
  <si>
    <t>개인</t>
    <phoneticPr fontId="1" type="noConversion"/>
  </si>
  <si>
    <t>매수</t>
    <phoneticPr fontId="1" type="noConversion"/>
  </si>
  <si>
    <t>코넥스</t>
    <phoneticPr fontId="1" type="noConversion"/>
  </si>
  <si>
    <t>AZES</t>
    <phoneticPr fontId="1" type="noConversion"/>
  </si>
  <si>
    <t>CTRM</t>
    <phoneticPr fontId="1" type="noConversion"/>
  </si>
  <si>
    <t>UKOMV</t>
    <phoneticPr fontId="1" type="noConversion"/>
  </si>
  <si>
    <t>NSPR</t>
    <phoneticPr fontId="1" type="noConversion"/>
  </si>
  <si>
    <t>LGHLW</t>
    <phoneticPr fontId="1" type="noConversion"/>
  </si>
  <si>
    <t>USWS</t>
    <phoneticPr fontId="1" type="noConversion"/>
  </si>
  <si>
    <t>ACST</t>
    <phoneticPr fontId="1" type="noConversion"/>
  </si>
  <si>
    <t>OGEN</t>
    <phoneticPr fontId="1" type="noConversion"/>
  </si>
  <si>
    <t>BORR</t>
    <phoneticPr fontId="1" type="noConversion"/>
  </si>
  <si>
    <t>SONM</t>
    <phoneticPr fontId="1" type="noConversion"/>
  </si>
  <si>
    <t>REOT</t>
    <phoneticPr fontId="1" type="noConversion"/>
  </si>
  <si>
    <t>DHXI</t>
    <phoneticPr fontId="1" type="noConversion"/>
  </si>
  <si>
    <t>TLGT</t>
    <phoneticPr fontId="1" type="noConversion"/>
  </si>
  <si>
    <t>기관</t>
    <phoneticPr fontId="1" type="noConversion"/>
  </si>
  <si>
    <t>개인</t>
    <phoneticPr fontId="1" type="noConversion"/>
  </si>
  <si>
    <t>개인</t>
    <phoneticPr fontId="1" type="noConversion"/>
  </si>
  <si>
    <t>개인</t>
    <phoneticPr fontId="1" type="noConversion"/>
  </si>
  <si>
    <t>개인</t>
    <phoneticPr fontId="1" type="noConversion"/>
  </si>
  <si>
    <t>기관</t>
    <phoneticPr fontId="1" type="noConversion"/>
  </si>
  <si>
    <t>외국인</t>
    <phoneticPr fontId="1" type="noConversion"/>
  </si>
  <si>
    <t>매수</t>
    <phoneticPr fontId="1" type="noConversion"/>
  </si>
  <si>
    <t>매도</t>
    <phoneticPr fontId="1" type="noConversion"/>
  </si>
  <si>
    <t>매도</t>
    <phoneticPr fontId="1" type="noConversion"/>
  </si>
  <si>
    <t>매도</t>
    <phoneticPr fontId="1" type="noConversion"/>
  </si>
  <si>
    <t>매수</t>
    <phoneticPr fontId="1" type="noConversion"/>
  </si>
  <si>
    <t>부서별 해외직구 현황</t>
    <phoneticPr fontId="1" type="noConversion"/>
  </si>
  <si>
    <t>부서명</t>
    <phoneticPr fontId="1" type="noConversion"/>
  </si>
  <si>
    <t>제품코드</t>
    <phoneticPr fontId="1" type="noConversion"/>
  </si>
  <si>
    <t>제품가(달러)</t>
    <phoneticPr fontId="1" type="noConversion"/>
  </si>
  <si>
    <t>수량</t>
    <phoneticPr fontId="1" type="noConversion"/>
  </si>
  <si>
    <t>배송비(달러)</t>
    <phoneticPr fontId="1" type="noConversion"/>
  </si>
  <si>
    <t>구매금액(원)</t>
    <phoneticPr fontId="1" type="noConversion"/>
  </si>
  <si>
    <t>환율 :</t>
    <phoneticPr fontId="1" type="noConversion"/>
  </si>
  <si>
    <t>총구매금액</t>
    <phoneticPr fontId="1" type="noConversion"/>
  </si>
  <si>
    <t>영업부</t>
    <phoneticPr fontId="1" type="noConversion"/>
  </si>
  <si>
    <t>총무부</t>
    <phoneticPr fontId="1" type="noConversion"/>
  </si>
  <si>
    <t>생산부</t>
    <phoneticPr fontId="1" type="noConversion"/>
  </si>
  <si>
    <t>생산부</t>
    <phoneticPr fontId="1" type="noConversion"/>
  </si>
  <si>
    <t>KBP14</t>
    <phoneticPr fontId="1" type="noConversion"/>
  </si>
  <si>
    <t>CLK66</t>
    <phoneticPr fontId="1" type="noConversion"/>
  </si>
  <si>
    <t>SME92</t>
    <phoneticPr fontId="1" type="noConversion"/>
  </si>
  <si>
    <t>KES20</t>
    <phoneticPr fontId="1" type="noConversion"/>
  </si>
  <si>
    <t>GHI13</t>
    <phoneticPr fontId="1" type="noConversion"/>
  </si>
  <si>
    <t>LSH56</t>
    <phoneticPr fontId="1" type="noConversion"/>
  </si>
  <si>
    <t>BUA84</t>
    <phoneticPr fontId="1" type="noConversion"/>
  </si>
  <si>
    <t>WTP11</t>
    <phoneticPr fontId="1" type="noConversion"/>
  </si>
  <si>
    <t>NVY05</t>
    <phoneticPr fontId="1" type="noConversion"/>
  </si>
  <si>
    <t>마트별 제품 판매현황</t>
    <phoneticPr fontId="1" type="noConversion"/>
  </si>
  <si>
    <t>마트</t>
    <phoneticPr fontId="1" type="noConversion"/>
  </si>
  <si>
    <t>제품</t>
    <phoneticPr fontId="1" type="noConversion"/>
  </si>
  <si>
    <t>단가</t>
    <phoneticPr fontId="1" type="noConversion"/>
  </si>
  <si>
    <t>수량</t>
    <phoneticPr fontId="1" type="noConversion"/>
  </si>
  <si>
    <t>금액</t>
    <phoneticPr fontId="1" type="noConversion"/>
  </si>
  <si>
    <t>유명마트</t>
    <phoneticPr fontId="1" type="noConversion"/>
  </si>
  <si>
    <t>한국마트</t>
    <phoneticPr fontId="1" type="noConversion"/>
  </si>
  <si>
    <t>서울마트</t>
    <phoneticPr fontId="1" type="noConversion"/>
  </si>
  <si>
    <t>대청마트</t>
    <phoneticPr fontId="1" type="noConversion"/>
  </si>
  <si>
    <t>상공마트</t>
    <phoneticPr fontId="1" type="noConversion"/>
  </si>
  <si>
    <t>신선우유</t>
    <phoneticPr fontId="1" type="noConversion"/>
  </si>
  <si>
    <t>건강우유</t>
    <phoneticPr fontId="1" type="noConversion"/>
  </si>
  <si>
    <t>튼튼우유</t>
    <phoneticPr fontId="1" type="noConversion"/>
  </si>
  <si>
    <t>칼슘우유</t>
    <phoneticPr fontId="1" type="noConversion"/>
  </si>
  <si>
    <t>아이우유</t>
    <phoneticPr fontId="1" type="noConversion"/>
  </si>
  <si>
    <t>대성마트</t>
    <phoneticPr fontId="1" type="noConversion"/>
  </si>
  <si>
    <t>하나마트</t>
    <phoneticPr fontId="1" type="noConversion"/>
  </si>
  <si>
    <t>바른마트</t>
    <phoneticPr fontId="1" type="noConversion"/>
  </si>
  <si>
    <t>딸기우유</t>
    <phoneticPr fontId="1" type="noConversion"/>
  </si>
  <si>
    <t>초코우유</t>
    <phoneticPr fontId="1" type="noConversion"/>
  </si>
  <si>
    <t>멸균우유</t>
    <phoneticPr fontId="1" type="noConversion"/>
  </si>
  <si>
    <t>영어학원 등록현황</t>
    <phoneticPr fontId="1" type="noConversion"/>
  </si>
  <si>
    <t>지역</t>
    <phoneticPr fontId="1" type="noConversion"/>
  </si>
  <si>
    <t>유치원생</t>
    <phoneticPr fontId="1" type="noConversion"/>
  </si>
  <si>
    <t>초등학생</t>
    <phoneticPr fontId="1" type="noConversion"/>
  </si>
  <si>
    <t>중학생</t>
    <phoneticPr fontId="1" type="noConversion"/>
  </si>
  <si>
    <t>고등학생</t>
    <phoneticPr fontId="1" type="noConversion"/>
  </si>
  <si>
    <t>대학생</t>
    <phoneticPr fontId="1" type="noConversion"/>
  </si>
  <si>
    <t>일반인</t>
    <phoneticPr fontId="1" type="noConversion"/>
  </si>
  <si>
    <t>분당지역</t>
    <phoneticPr fontId="1" type="noConversion"/>
  </si>
  <si>
    <t>일산지역</t>
    <phoneticPr fontId="1" type="noConversion"/>
  </si>
  <si>
    <t>강북지역</t>
    <phoneticPr fontId="1" type="noConversion"/>
  </si>
  <si>
    <t>행 레이블</t>
  </si>
  <si>
    <t>매도</t>
  </si>
  <si>
    <t>매수</t>
  </si>
  <si>
    <t>열 레이블</t>
  </si>
  <si>
    <t>개인</t>
  </si>
  <si>
    <t>기관</t>
  </si>
  <si>
    <t>외국인</t>
  </si>
  <si>
    <t>합계 : 거래량</t>
  </si>
  <si>
    <t>최대 : 거래액</t>
  </si>
  <si>
    <t>환율</t>
  </si>
  <si>
    <t>총구매금액</t>
  </si>
  <si>
    <t>환율증가</t>
  </si>
  <si>
    <t>만든 사람 ylose 날짜 2023-07-25</t>
  </si>
  <si>
    <t>환율감소</t>
  </si>
  <si>
    <t>시나리오 요약</t>
  </si>
  <si>
    <t>변경 셀:</t>
  </si>
  <si>
    <t>현재 값:</t>
  </si>
  <si>
    <t>결과 셀:</t>
  </si>
  <si>
    <t>참고: 현재 값 열은 시나리오 요약 보고서가 작성될 때의</t>
  </si>
  <si>
    <t>변경 셀 값을 나타냅니다. 각 시나리오의 변경 셀들은</t>
  </si>
  <si>
    <t>회색으로 표시됩니다.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</si>
</sst>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8" formatCode="[=0]&quot;원&quot;;#,##0&quot;만원&quot;"/>
  </numFmts>
  <fonts count="1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7"/>
      <color theme="1"/>
      <name val="HY견고딕"/>
      <family val="1"/>
      <charset val="129"/>
    </font>
    <font>
      <sz val="11"/>
      <color indexed="9"/>
      <name val="맑은 고딕"/>
      <family val="2"/>
      <charset val="129"/>
      <scheme val="minor"/>
    </font>
    <font>
      <sz val="11"/>
      <color indexed="9"/>
      <name val="맑은 고딕"/>
      <family val="3"/>
      <charset val="129"/>
      <scheme val="minor"/>
    </font>
    <font>
      <sz val="11"/>
      <color indexed="8"/>
      <name val="맑은 고딕"/>
      <family val="2"/>
      <charset val="129"/>
      <scheme val="minor"/>
    </font>
    <font>
      <sz val="11"/>
      <color indexed="18"/>
      <name val="맑은 고딕"/>
      <family val="2"/>
      <charset val="129"/>
      <scheme val="minor"/>
    </font>
    <font>
      <sz val="11"/>
      <color indexed="18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8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</cellStyleXfs>
  <cellXfs count="5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41" fontId="0" fillId="0" borderId="0" xfId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41" fontId="0" fillId="0" borderId="1" xfId="1" applyFont="1" applyFill="1" applyBorder="1">
      <alignment vertical="center"/>
    </xf>
    <xf numFmtId="9" fontId="0" fillId="0" borderId="1" xfId="0" applyNumberFormat="1" applyBorder="1" applyAlignment="1">
      <alignment horizontal="center" vertical="center"/>
    </xf>
    <xf numFmtId="0" fontId="5" fillId="0" borderId="0" xfId="0" applyFont="1">
      <alignment vertical="center"/>
    </xf>
    <xf numFmtId="0" fontId="3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21" fontId="0" fillId="0" borderId="1" xfId="0" applyNumberForma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0" borderId="1" xfId="1" applyNumberFormat="1" applyFont="1" applyBorder="1" applyAlignment="1">
      <alignment horizontal="center" vertical="center"/>
    </xf>
    <xf numFmtId="176" fontId="0" fillId="0" borderId="1" xfId="1" applyNumberFormat="1" applyFont="1" applyBorder="1" applyAlignment="1">
      <alignment horizontal="right" vertical="center"/>
    </xf>
    <xf numFmtId="0" fontId="0" fillId="0" borderId="0" xfId="0" applyAlignment="1">
      <alignment horizontal="left" vertical="center"/>
    </xf>
    <xf numFmtId="41" fontId="0" fillId="0" borderId="1" xfId="1" applyFont="1" applyBorder="1" applyAlignment="1">
      <alignment horizontal="right" vertical="center"/>
    </xf>
    <xf numFmtId="0" fontId="3" fillId="0" borderId="0" xfId="0" applyFont="1" applyAlignment="1">
      <alignment horizontal="right" vertical="center"/>
    </xf>
    <xf numFmtId="41" fontId="3" fillId="0" borderId="0" xfId="1" applyFont="1">
      <alignment vertical="center"/>
    </xf>
    <xf numFmtId="41" fontId="0" fillId="0" borderId="1" xfId="0" applyNumberFormat="1" applyBorder="1" applyAlignment="1">
      <alignment horizontal="center" vertical="center"/>
    </xf>
    <xf numFmtId="41" fontId="0" fillId="0" borderId="0" xfId="1" applyFont="1" applyBorder="1" applyAlignment="1">
      <alignment horizontal="center" vertical="center"/>
    </xf>
    <xf numFmtId="0" fontId="0" fillId="0" borderId="0" xfId="1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41" fontId="0" fillId="0" borderId="1" xfId="1" applyFont="1" applyBorder="1">
      <alignment vertical="center"/>
    </xf>
    <xf numFmtId="178" fontId="0" fillId="0" borderId="1" xfId="0" applyNumberFormat="1" applyBorder="1">
      <alignment vertical="center"/>
    </xf>
    <xf numFmtId="41" fontId="0" fillId="0" borderId="2" xfId="1" applyFont="1" applyBorder="1">
      <alignment vertical="center"/>
    </xf>
    <xf numFmtId="178" fontId="0" fillId="0" borderId="2" xfId="0" applyNumberFormat="1" applyBorder="1">
      <alignment vertical="center"/>
    </xf>
    <xf numFmtId="0" fontId="6" fillId="3" borderId="4" xfId="2" applyBorder="1" applyAlignment="1">
      <alignment horizontal="center" vertical="center"/>
    </xf>
    <xf numFmtId="0" fontId="0" fillId="0" borderId="0" xfId="0" pivotButton="1">
      <alignment vertical="center"/>
    </xf>
    <xf numFmtId="0" fontId="0" fillId="0" borderId="0" xfId="0" applyNumberFormat="1">
      <alignment vertical="center"/>
    </xf>
    <xf numFmtId="0" fontId="0" fillId="0" borderId="0" xfId="0" applyAlignment="1">
      <alignment horizontal="left" vertical="center" indent="1"/>
    </xf>
    <xf numFmtId="0" fontId="0" fillId="0" borderId="0" xfId="0" applyFill="1" applyBorder="1" applyAlignment="1">
      <alignment vertical="center"/>
    </xf>
    <xf numFmtId="41" fontId="0" fillId="0" borderId="0" xfId="0" applyNumberFormat="1" applyFill="1" applyBorder="1" applyAlignment="1">
      <alignment vertical="center"/>
    </xf>
    <xf numFmtId="41" fontId="0" fillId="0" borderId="6" xfId="0" applyNumberFormat="1" applyFill="1" applyBorder="1" applyAlignment="1">
      <alignment vertical="center"/>
    </xf>
    <xf numFmtId="0" fontId="9" fillId="4" borderId="7" xfId="0" applyFont="1" applyFill="1" applyBorder="1" applyAlignment="1">
      <alignment horizontal="left" vertical="center"/>
    </xf>
    <xf numFmtId="0" fontId="8" fillId="4" borderId="5" xfId="0" applyFont="1" applyFill="1" applyBorder="1" applyAlignment="1">
      <alignment horizontal="left" vertical="center"/>
    </xf>
    <xf numFmtId="0" fontId="9" fillId="4" borderId="5" xfId="0" applyFont="1" applyFill="1" applyBorder="1" applyAlignment="1">
      <alignment horizontal="left" vertical="center"/>
    </xf>
    <xf numFmtId="0" fontId="0" fillId="0" borderId="8" xfId="0" applyFill="1" applyBorder="1" applyAlignment="1">
      <alignment vertical="center"/>
    </xf>
    <xf numFmtId="0" fontId="10" fillId="5" borderId="0" xfId="0" applyFont="1" applyFill="1" applyBorder="1" applyAlignment="1">
      <alignment horizontal="left" vertical="center"/>
    </xf>
    <xf numFmtId="0" fontId="11" fillId="5" borderId="8" xfId="0" applyFont="1" applyFill="1" applyBorder="1" applyAlignment="1">
      <alignment horizontal="left" vertical="center"/>
    </xf>
    <xf numFmtId="0" fontId="12" fillId="5" borderId="8" xfId="0" applyFont="1" applyFill="1" applyBorder="1" applyAlignment="1">
      <alignment horizontal="left" vertical="center"/>
    </xf>
    <xf numFmtId="0" fontId="10" fillId="5" borderId="6" xfId="0" applyFont="1" applyFill="1" applyBorder="1" applyAlignment="1">
      <alignment horizontal="left" vertical="center"/>
    </xf>
    <xf numFmtId="0" fontId="8" fillId="4" borderId="5" xfId="0" applyFont="1" applyFill="1" applyBorder="1" applyAlignment="1">
      <alignment horizontal="right" vertical="center"/>
    </xf>
    <xf numFmtId="0" fontId="8" fillId="4" borderId="7" xfId="0" applyFont="1" applyFill="1" applyBorder="1" applyAlignment="1">
      <alignment horizontal="right" vertical="center"/>
    </xf>
    <xf numFmtId="41" fontId="0" fillId="6" borderId="0" xfId="0" applyNumberFormat="1" applyFill="1" applyBorder="1" applyAlignment="1">
      <alignment vertical="center"/>
    </xf>
    <xf numFmtId="0" fontId="13" fillId="0" borderId="0" xfId="0" applyFont="1" applyFill="1" applyBorder="1" applyAlignment="1">
      <alignment vertical="top" wrapText="1"/>
    </xf>
  </cellXfs>
  <cellStyles count="3">
    <cellStyle name="강조색5" xfId="2" builtinId="45"/>
    <cellStyle name="쉼표 [0]" xfId="1" builtinId="6"/>
    <cellStyle name="표준" xfId="0" builtinId="0"/>
  </cellStyles>
  <dxfs count="2">
    <dxf>
      <font>
        <b/>
        <i/>
        <color rgb="FFFF0000"/>
      </font>
    </dxf>
    <dxf>
      <font>
        <b/>
        <i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영어학원 등록현황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차트작업!$B$5</c:f>
              <c:strCache>
                <c:ptCount val="1"/>
                <c:pt idx="0">
                  <c:v>일산지역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1"/>
              <c:dLblPos val="l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0-4078-80B7-3B116C1D94D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차트작업!$C$3:$H$3</c:f>
              <c:strCache>
                <c:ptCount val="6"/>
                <c:pt idx="0">
                  <c:v>유치원생</c:v>
                </c:pt>
                <c:pt idx="1">
                  <c:v>초등학생</c:v>
                </c:pt>
                <c:pt idx="2">
                  <c:v>중학생</c:v>
                </c:pt>
                <c:pt idx="3">
                  <c:v>고등학생</c:v>
                </c:pt>
                <c:pt idx="4">
                  <c:v>대학생</c:v>
                </c:pt>
                <c:pt idx="5">
                  <c:v>일반인</c:v>
                </c:pt>
              </c:strCache>
            </c:strRef>
          </c:cat>
          <c:val>
            <c:numRef>
              <c:f>차트작업!$C$5:$H$5</c:f>
              <c:numCache>
                <c:formatCode>General</c:formatCode>
                <c:ptCount val="6"/>
                <c:pt idx="0">
                  <c:v>89</c:v>
                </c:pt>
                <c:pt idx="1">
                  <c:v>128</c:v>
                </c:pt>
                <c:pt idx="2">
                  <c:v>145</c:v>
                </c:pt>
                <c:pt idx="3">
                  <c:v>127</c:v>
                </c:pt>
                <c:pt idx="4">
                  <c:v>38</c:v>
                </c:pt>
                <c:pt idx="5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43-4483-8ADF-5CE776CF491D}"/>
            </c:ext>
          </c:extLst>
        </c:ser>
        <c:ser>
          <c:idx val="2"/>
          <c:order val="1"/>
          <c:tx>
            <c:strRef>
              <c:f>차트작업!$B$6</c:f>
              <c:strCache>
                <c:ptCount val="1"/>
                <c:pt idx="0">
                  <c:v>강북지역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차트작업!$C$3:$H$3</c:f>
              <c:strCache>
                <c:ptCount val="6"/>
                <c:pt idx="0">
                  <c:v>유치원생</c:v>
                </c:pt>
                <c:pt idx="1">
                  <c:v>초등학생</c:v>
                </c:pt>
                <c:pt idx="2">
                  <c:v>중학생</c:v>
                </c:pt>
                <c:pt idx="3">
                  <c:v>고등학생</c:v>
                </c:pt>
                <c:pt idx="4">
                  <c:v>대학생</c:v>
                </c:pt>
                <c:pt idx="5">
                  <c:v>일반인</c:v>
                </c:pt>
              </c:strCache>
            </c:strRef>
          </c:cat>
          <c:val>
            <c:numRef>
              <c:f>차트작업!$C$6:$H$6</c:f>
              <c:numCache>
                <c:formatCode>General</c:formatCode>
                <c:ptCount val="6"/>
                <c:pt idx="0">
                  <c:v>75</c:v>
                </c:pt>
                <c:pt idx="1">
                  <c:v>115</c:v>
                </c:pt>
                <c:pt idx="2">
                  <c:v>132</c:v>
                </c:pt>
                <c:pt idx="3">
                  <c:v>109</c:v>
                </c:pt>
                <c:pt idx="4">
                  <c:v>43</c:v>
                </c:pt>
                <c:pt idx="5">
                  <c:v>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243-4483-8ADF-5CE776CF49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6830575"/>
        <c:axId val="1766831823"/>
      </c:lineChart>
      <c:catAx>
        <c:axId val="17668305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66831823"/>
        <c:crosses val="autoZero"/>
        <c:auto val="1"/>
        <c:lblAlgn val="ctr"/>
        <c:lblOffset val="100"/>
        <c:noMultiLvlLbl val="0"/>
      </c:catAx>
      <c:valAx>
        <c:axId val="17668318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(</a:t>
                </a:r>
                <a:r>
                  <a:rPr lang="ko-KR" altLang="en-US"/>
                  <a:t>단위 </a:t>
                </a:r>
                <a:r>
                  <a:rPr lang="en-US" altLang="ko-KR"/>
                  <a:t>: </a:t>
                </a:r>
                <a:r>
                  <a:rPr lang="ko-KR" altLang="en-US"/>
                  <a:t>명</a:t>
                </a:r>
                <a:r>
                  <a:rPr lang="en-US" altLang="ko-KR"/>
                  <a:t>)</a:t>
                </a:r>
                <a:endParaRPr lang="ko-KR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66830575"/>
        <c:crosses val="autoZero"/>
        <c:crossBetween val="between"/>
      </c:valAx>
      <c:spPr>
        <a:gradFill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5400000" scaled="0"/>
        </a:gradFill>
        <a:ln w="6350" cap="flat" cmpd="sng" algn="ctr">
          <a:solidFill>
            <a:schemeClr val="accent4"/>
          </a:solidFill>
          <a:prstDash val="solid"/>
          <a:miter lim="800000"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171450</xdr:colOff>
      <xdr:row>0</xdr:row>
      <xdr:rowOff>104775</xdr:rowOff>
    </xdr:from>
    <xdr:to>
      <xdr:col>16</xdr:col>
      <xdr:colOff>427821</xdr:colOff>
      <xdr:row>13</xdr:row>
      <xdr:rowOff>209196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229225" y="104775"/>
          <a:ext cx="6428571" cy="282857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123825</xdr:colOff>
      <xdr:row>0</xdr:row>
      <xdr:rowOff>85725</xdr:rowOff>
    </xdr:from>
    <xdr:to>
      <xdr:col>20</xdr:col>
      <xdr:colOff>466725</xdr:colOff>
      <xdr:row>12</xdr:row>
      <xdr:rowOff>78643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67400" y="85725"/>
          <a:ext cx="8572500" cy="256847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85725</xdr:colOff>
      <xdr:row>0</xdr:row>
      <xdr:rowOff>66675</xdr:rowOff>
    </xdr:from>
    <xdr:to>
      <xdr:col>22</xdr:col>
      <xdr:colOff>208467</xdr:colOff>
      <xdr:row>7</xdr:row>
      <xdr:rowOff>56962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19900" y="66675"/>
          <a:ext cx="8666667" cy="150476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95250</xdr:colOff>
      <xdr:row>0</xdr:row>
      <xdr:rowOff>38100</xdr:rowOff>
    </xdr:from>
    <xdr:to>
      <xdr:col>23</xdr:col>
      <xdr:colOff>541844</xdr:colOff>
      <xdr:row>28</xdr:row>
      <xdr:rowOff>161637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pSpPr/>
      </xdr:nvGrpSpPr>
      <xdr:grpSpPr>
        <a:xfrm>
          <a:off x="8248650" y="38100"/>
          <a:ext cx="8493314" cy="6310977"/>
          <a:chOff x="8362950" y="38100"/>
          <a:chExt cx="8676194" cy="5990937"/>
        </a:xfrm>
      </xdr:grpSpPr>
      <xdr:pic>
        <xdr:nvPicPr>
          <xdr:cNvPr id="2" name="그림 1">
            <a:extLst>
              <a:ext uri="{FF2B5EF4-FFF2-40B4-BE49-F238E27FC236}">
                <a16:creationId xmlns:a16="http://schemas.microsoft.com/office/drawing/2014/main" id="{00000000-0008-0000-03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8362950" y="38100"/>
            <a:ext cx="8638095" cy="3733333"/>
          </a:xfrm>
          <a:prstGeom prst="rect">
            <a:avLst/>
          </a:prstGeom>
        </xdr:spPr>
      </xdr:pic>
      <xdr:pic>
        <xdr:nvPicPr>
          <xdr:cNvPr id="3" name="그림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8391525" y="3724275"/>
            <a:ext cx="8647619" cy="2304762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133350</xdr:colOff>
      <xdr:row>0</xdr:row>
      <xdr:rowOff>123825</xdr:rowOff>
    </xdr:from>
    <xdr:to>
      <xdr:col>18</xdr:col>
      <xdr:colOff>629478</xdr:colOff>
      <xdr:row>8</xdr:row>
      <xdr:rowOff>152181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14950" y="123825"/>
          <a:ext cx="8619048" cy="1752381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190500</xdr:colOff>
      <xdr:row>0</xdr:row>
      <xdr:rowOff>133350</xdr:rowOff>
    </xdr:from>
    <xdr:to>
      <xdr:col>20</xdr:col>
      <xdr:colOff>608519</xdr:colOff>
      <xdr:row>11</xdr:row>
      <xdr:rowOff>114008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91200" y="133350"/>
          <a:ext cx="8647619" cy="2333333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104775</xdr:colOff>
      <xdr:row>0</xdr:row>
      <xdr:rowOff>123825</xdr:rowOff>
    </xdr:from>
    <xdr:to>
      <xdr:col>19</xdr:col>
      <xdr:colOff>503746</xdr:colOff>
      <xdr:row>16</xdr:row>
      <xdr:rowOff>47209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57725" y="123825"/>
          <a:ext cx="8628571" cy="3323809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8</xdr:col>
      <xdr:colOff>0</xdr:colOff>
      <xdr:row>21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66675</xdr:colOff>
      <xdr:row>0</xdr:row>
      <xdr:rowOff>95250</xdr:rowOff>
    </xdr:from>
    <xdr:to>
      <xdr:col>21</xdr:col>
      <xdr:colOff>541837</xdr:colOff>
      <xdr:row>23</xdr:row>
      <xdr:rowOff>56546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753100" y="95250"/>
          <a:ext cx="8704762" cy="4828571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lose" refreshedDate="45132.892077083336" createdVersion="8" refreshedVersion="8" minRefreshableVersion="3" recordCount="13" xr:uid="{DD3B672A-4998-447F-8B40-3099A961030A}">
  <cacheSource type="worksheet">
    <worksheetSource ref="B3:G16" sheet="분석작업-1"/>
  </cacheSource>
  <cacheFields count="6">
    <cacheField name="거래소" numFmtId="0">
      <sharedItems/>
    </cacheField>
    <cacheField name="주체" numFmtId="0">
      <sharedItems count="3">
        <s v="외국인"/>
        <s v="기관"/>
        <s v="개인"/>
      </sharedItems>
    </cacheField>
    <cacheField name="구분" numFmtId="0">
      <sharedItems count="2">
        <s v="매도"/>
        <s v="매수"/>
      </sharedItems>
    </cacheField>
    <cacheField name="종목코드" numFmtId="0">
      <sharedItems/>
    </cacheField>
    <cacheField name="거래량" numFmtId="41">
      <sharedItems containsSemiMixedTypes="0" containsString="0" containsNumber="1" containsInteger="1" minValue="574" maxValue="3471"/>
    </cacheField>
    <cacheField name="거래액" numFmtId="41">
      <sharedItems containsSemiMixedTypes="0" containsString="0" containsNumber="1" containsInteger="1" minValue="2436880" maxValue="7302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">
  <r>
    <s v="코스피"/>
    <x v="0"/>
    <x v="0"/>
    <s v="AZES"/>
    <n v="648"/>
    <n v="8035200"/>
  </r>
  <r>
    <s v="코스닥"/>
    <x v="1"/>
    <x v="1"/>
    <s v="CTRM"/>
    <n v="1295"/>
    <n v="34965000"/>
  </r>
  <r>
    <s v="코넥스"/>
    <x v="2"/>
    <x v="0"/>
    <s v="UKOMV"/>
    <n v="2476"/>
    <n v="10622040"/>
  </r>
  <r>
    <s v="코넥스"/>
    <x v="0"/>
    <x v="1"/>
    <s v="NSPR"/>
    <n v="952"/>
    <n v="12852000"/>
  </r>
  <r>
    <s v="코스피"/>
    <x v="2"/>
    <x v="1"/>
    <s v="LGHLW"/>
    <n v="897"/>
    <n v="6099600"/>
  </r>
  <r>
    <s v="코넥스"/>
    <x v="1"/>
    <x v="0"/>
    <s v="USWS"/>
    <n v="1095"/>
    <n v="23433000"/>
  </r>
  <r>
    <s v="코스닥"/>
    <x v="2"/>
    <x v="0"/>
    <s v="ACST"/>
    <n v="3471"/>
    <n v="38528100"/>
  </r>
  <r>
    <s v="코스피"/>
    <x v="1"/>
    <x v="0"/>
    <s v="OGEN"/>
    <n v="2486"/>
    <n v="70751560"/>
  </r>
  <r>
    <s v="코스피"/>
    <x v="2"/>
    <x v="0"/>
    <s v="BORR"/>
    <n v="1649"/>
    <n v="14824510"/>
  </r>
  <r>
    <s v="코스닥"/>
    <x v="2"/>
    <x v="1"/>
    <s v="SONM"/>
    <n v="734"/>
    <n v="2436880"/>
  </r>
  <r>
    <s v="코넥스"/>
    <x v="1"/>
    <x v="1"/>
    <s v="REOT"/>
    <n v="1386"/>
    <n v="10575180"/>
  </r>
  <r>
    <s v="코스닥"/>
    <x v="0"/>
    <x v="0"/>
    <s v="DHXI"/>
    <n v="574"/>
    <n v="3989300"/>
  </r>
  <r>
    <s v="코스피"/>
    <x v="1"/>
    <x v="1"/>
    <s v="TLGT"/>
    <n v="2240"/>
    <n v="73024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86363E-A2EE-4C20-8169-8606C65CF453}" name="피벗 테이블1" cacheId="3" dataOnRows="1" applyNumberFormats="0" applyBorderFormats="0" applyFontFormats="0" applyPatternFormats="0" applyAlignmentFormats="0" applyWidthHeightFormats="1" dataCaption="값" updatedVersion="8" minRefreshableVersion="3" useAutoFormatting="1" rowGrandTotals="0" colGrandTotals="0" itemPrintTitles="1" createdVersion="8" indent="0" outline="1" outlineData="1" multipleFieldFilters="0">
  <location ref="B20:E27" firstHeaderRow="1" firstDataRow="2" firstDataCol="1"/>
  <pivotFields count="6">
    <pivotField showAll="0"/>
    <pivotField axis="axisCol" showAll="0">
      <items count="4">
        <item x="2"/>
        <item x="1"/>
        <item x="0"/>
        <item t="default"/>
      </items>
    </pivotField>
    <pivotField axis="axisRow" showAll="0">
      <items count="3">
        <item x="0"/>
        <item x="1"/>
        <item t="default"/>
      </items>
    </pivotField>
    <pivotField showAll="0"/>
    <pivotField dataField="1" numFmtId="41" showAll="0"/>
    <pivotField dataField="1" numFmtId="41" showAll="0"/>
  </pivotFields>
  <rowFields count="2">
    <field x="2"/>
    <field x="-2"/>
  </rowFields>
  <rowItems count="6">
    <i>
      <x/>
    </i>
    <i r="1">
      <x/>
    </i>
    <i r="1" i="1">
      <x v="1"/>
    </i>
    <i>
      <x v="1"/>
    </i>
    <i r="1">
      <x/>
    </i>
    <i r="1" i="1">
      <x v="1"/>
    </i>
  </rowItems>
  <colFields count="1">
    <field x="1"/>
  </colFields>
  <colItems count="3">
    <i>
      <x/>
    </i>
    <i>
      <x v="1"/>
    </i>
    <i>
      <x v="2"/>
    </i>
  </colItems>
  <dataFields count="2">
    <dataField name="합계 : 거래량" fld="4" baseField="0" baseItem="0"/>
    <dataField name="최대 : 거래액" fld="5" subtotal="max" baseField="2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9"/>
  <sheetViews>
    <sheetView workbookViewId="0">
      <selection activeCell="A2" sqref="A2"/>
    </sheetView>
  </sheetViews>
  <sheetFormatPr defaultRowHeight="17.399999999999999" x14ac:dyDescent="0.4"/>
  <cols>
    <col min="2" max="2" width="12.3984375" bestFit="1" customWidth="1"/>
  </cols>
  <sheetData>
    <row r="1" spans="1:6" x14ac:dyDescent="0.4">
      <c r="A1" t="s">
        <v>1</v>
      </c>
    </row>
    <row r="3" spans="1:6" x14ac:dyDescent="0.4">
      <c r="A3" s="1"/>
      <c r="B3" s="1"/>
      <c r="C3" s="1"/>
      <c r="D3" s="1"/>
      <c r="E3" s="1"/>
      <c r="F3" s="1"/>
    </row>
    <row r="4" spans="1:6" x14ac:dyDescent="0.4">
      <c r="A4" s="1"/>
      <c r="B4" s="1"/>
      <c r="C4" s="1"/>
      <c r="D4" s="1"/>
      <c r="E4" s="2"/>
      <c r="F4" s="1"/>
    </row>
    <row r="5" spans="1:6" x14ac:dyDescent="0.4">
      <c r="A5" s="1"/>
      <c r="B5" s="1"/>
      <c r="C5" s="1"/>
      <c r="D5" s="1"/>
      <c r="E5" s="2"/>
      <c r="F5" s="1"/>
    </row>
    <row r="6" spans="1:6" x14ac:dyDescent="0.4">
      <c r="A6" s="1"/>
      <c r="B6" s="1"/>
      <c r="C6" s="1"/>
      <c r="D6" s="1"/>
      <c r="E6" s="2"/>
      <c r="F6" s="1"/>
    </row>
    <row r="7" spans="1:6" x14ac:dyDescent="0.4">
      <c r="A7" s="1"/>
      <c r="B7" s="1"/>
      <c r="C7" s="1"/>
      <c r="D7" s="1"/>
      <c r="E7" s="2"/>
      <c r="F7" s="1"/>
    </row>
    <row r="8" spans="1:6" x14ac:dyDescent="0.4">
      <c r="A8" s="1"/>
      <c r="B8" s="1"/>
      <c r="C8" s="1"/>
      <c r="D8" s="1"/>
      <c r="E8" s="2"/>
      <c r="F8" s="1"/>
    </row>
    <row r="9" spans="1:6" x14ac:dyDescent="0.4">
      <c r="A9" s="1"/>
      <c r="B9" s="1"/>
      <c r="C9" s="1"/>
      <c r="D9" s="1"/>
      <c r="E9" s="2"/>
      <c r="F9" s="1"/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G15"/>
  <sheetViews>
    <sheetView workbookViewId="0">
      <selection activeCell="B5" sqref="B5"/>
    </sheetView>
  </sheetViews>
  <sheetFormatPr defaultRowHeight="17.399999999999999" x14ac:dyDescent="0.4"/>
  <cols>
    <col min="4" max="4" width="12.3984375" bestFit="1" customWidth="1"/>
    <col min="7" max="7" width="9.3984375" bestFit="1" customWidth="1"/>
  </cols>
  <sheetData>
    <row r="1" spans="1:7" ht="21" x14ac:dyDescent="0.4">
      <c r="A1" s="28" t="s">
        <v>22</v>
      </c>
      <c r="B1" s="28"/>
      <c r="C1" s="28"/>
      <c r="D1" s="28"/>
      <c r="E1" s="28"/>
      <c r="F1" s="28"/>
      <c r="G1" s="28"/>
    </row>
    <row r="3" spans="1:7" ht="18" thickBot="1" x14ac:dyDescent="0.45">
      <c r="A3" s="33" t="s">
        <v>2</v>
      </c>
      <c r="B3" s="33" t="s">
        <v>48</v>
      </c>
      <c r="C3" s="33" t="s">
        <v>19</v>
      </c>
      <c r="D3" s="33" t="s">
        <v>49</v>
      </c>
      <c r="E3" s="33" t="s">
        <v>20</v>
      </c>
      <c r="F3" s="33" t="s">
        <v>21</v>
      </c>
      <c r="G3" s="33" t="s">
        <v>18</v>
      </c>
    </row>
    <row r="4" spans="1:7" ht="18" thickTop="1" x14ac:dyDescent="0.4">
      <c r="A4" s="27" t="s">
        <v>6</v>
      </c>
      <c r="B4" s="23" t="s">
        <v>23</v>
      </c>
      <c r="C4" s="23" t="s">
        <v>37</v>
      </c>
      <c r="D4" s="23" t="s">
        <v>7</v>
      </c>
      <c r="E4" s="31">
        <v>1100</v>
      </c>
      <c r="F4" s="31">
        <v>5000</v>
      </c>
      <c r="G4" s="32">
        <v>550</v>
      </c>
    </row>
    <row r="5" spans="1:7" x14ac:dyDescent="0.4">
      <c r="A5" s="24"/>
      <c r="B5" s="3" t="s">
        <v>24</v>
      </c>
      <c r="C5" s="3" t="s">
        <v>38</v>
      </c>
      <c r="D5" s="3" t="s">
        <v>8</v>
      </c>
      <c r="E5" s="29">
        <v>3800</v>
      </c>
      <c r="F5" s="29">
        <v>3500</v>
      </c>
      <c r="G5" s="30">
        <v>1330</v>
      </c>
    </row>
    <row r="6" spans="1:7" x14ac:dyDescent="0.4">
      <c r="A6" s="24"/>
      <c r="B6" s="3" t="s">
        <v>25</v>
      </c>
      <c r="C6" s="3" t="s">
        <v>39</v>
      </c>
      <c r="D6" s="3" t="s">
        <v>9</v>
      </c>
      <c r="E6" s="29">
        <v>2700</v>
      </c>
      <c r="F6" s="29">
        <v>4000</v>
      </c>
      <c r="G6" s="30">
        <v>1080</v>
      </c>
    </row>
    <row r="7" spans="1:7" x14ac:dyDescent="0.4">
      <c r="A7" s="24" t="s">
        <v>3</v>
      </c>
      <c r="B7" s="3" t="s">
        <v>26</v>
      </c>
      <c r="C7" s="3" t="s">
        <v>40</v>
      </c>
      <c r="D7" s="3" t="s">
        <v>10</v>
      </c>
      <c r="E7" s="29">
        <v>9500</v>
      </c>
      <c r="F7" s="29">
        <v>600</v>
      </c>
      <c r="G7" s="30">
        <v>570</v>
      </c>
    </row>
    <row r="8" spans="1:7" x14ac:dyDescent="0.4">
      <c r="A8" s="24"/>
      <c r="B8" s="3" t="s">
        <v>27</v>
      </c>
      <c r="C8" s="3" t="s">
        <v>41</v>
      </c>
      <c r="D8" s="3" t="s">
        <v>11</v>
      </c>
      <c r="E8" s="29">
        <v>4500</v>
      </c>
      <c r="F8" s="29">
        <v>1200</v>
      </c>
      <c r="G8" s="30">
        <v>540</v>
      </c>
    </row>
    <row r="9" spans="1:7" x14ac:dyDescent="0.4">
      <c r="A9" s="24"/>
      <c r="B9" s="3" t="s">
        <v>28</v>
      </c>
      <c r="C9" s="3" t="s">
        <v>42</v>
      </c>
      <c r="D9" s="3" t="s">
        <v>12</v>
      </c>
      <c r="E9" s="29">
        <v>7600</v>
      </c>
      <c r="F9" s="29">
        <v>1000</v>
      </c>
      <c r="G9" s="30">
        <v>760</v>
      </c>
    </row>
    <row r="10" spans="1:7" x14ac:dyDescent="0.4">
      <c r="A10" s="24" t="s">
        <v>4</v>
      </c>
      <c r="B10" s="3" t="s">
        <v>29</v>
      </c>
      <c r="C10" s="3" t="s">
        <v>44</v>
      </c>
      <c r="D10" s="3" t="s">
        <v>13</v>
      </c>
      <c r="E10" s="29">
        <v>2200</v>
      </c>
      <c r="F10" s="29">
        <v>6000</v>
      </c>
      <c r="G10" s="30">
        <v>1320</v>
      </c>
    </row>
    <row r="11" spans="1:7" x14ac:dyDescent="0.4">
      <c r="A11" s="24"/>
      <c r="B11" s="3" t="s">
        <v>30</v>
      </c>
      <c r="C11" s="3" t="s">
        <v>43</v>
      </c>
      <c r="D11" s="3" t="s">
        <v>47</v>
      </c>
      <c r="E11" s="29">
        <v>1880</v>
      </c>
      <c r="F11" s="29">
        <v>8000</v>
      </c>
      <c r="G11" s="30">
        <v>1504</v>
      </c>
    </row>
    <row r="12" spans="1:7" x14ac:dyDescent="0.4">
      <c r="A12" s="24"/>
      <c r="B12" s="3" t="s">
        <v>31</v>
      </c>
      <c r="C12" s="3" t="s">
        <v>45</v>
      </c>
      <c r="D12" s="3" t="s">
        <v>14</v>
      </c>
      <c r="E12" s="29">
        <v>2400</v>
      </c>
      <c r="F12" s="29">
        <v>3500</v>
      </c>
      <c r="G12" s="30">
        <v>840</v>
      </c>
    </row>
    <row r="13" spans="1:7" x14ac:dyDescent="0.4">
      <c r="A13" s="24" t="s">
        <v>5</v>
      </c>
      <c r="B13" s="3" t="s">
        <v>32</v>
      </c>
      <c r="C13" s="3" t="s">
        <v>36</v>
      </c>
      <c r="D13" s="3" t="s">
        <v>15</v>
      </c>
      <c r="E13" s="29">
        <v>12000</v>
      </c>
      <c r="F13" s="29">
        <v>200</v>
      </c>
      <c r="G13" s="30">
        <v>240</v>
      </c>
    </row>
    <row r="14" spans="1:7" x14ac:dyDescent="0.4">
      <c r="A14" s="24"/>
      <c r="B14" s="3" t="s">
        <v>33</v>
      </c>
      <c r="C14" s="3" t="s">
        <v>35</v>
      </c>
      <c r="D14" s="3" t="s">
        <v>16</v>
      </c>
      <c r="E14" s="29">
        <v>13500</v>
      </c>
      <c r="F14" s="29">
        <v>1200</v>
      </c>
      <c r="G14" s="30">
        <v>1620</v>
      </c>
    </row>
    <row r="15" spans="1:7" x14ac:dyDescent="0.4">
      <c r="A15" s="24"/>
      <c r="B15" s="3" t="s">
        <v>34</v>
      </c>
      <c r="C15" s="3" t="s">
        <v>46</v>
      </c>
      <c r="D15" s="3" t="s">
        <v>17</v>
      </c>
      <c r="E15" s="29">
        <v>11700</v>
      </c>
      <c r="F15" s="29">
        <v>500</v>
      </c>
      <c r="G15" s="30">
        <v>585</v>
      </c>
    </row>
  </sheetData>
  <mergeCells count="5">
    <mergeCell ref="A1:G1"/>
    <mergeCell ref="A4:A6"/>
    <mergeCell ref="A7:A9"/>
    <mergeCell ref="A10:A12"/>
    <mergeCell ref="A13:A15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1:H13"/>
  <sheetViews>
    <sheetView workbookViewId="0">
      <selection activeCell="J13" sqref="J13"/>
    </sheetView>
  </sheetViews>
  <sheetFormatPr defaultColWidth="8.59765625" defaultRowHeight="17.399999999999999" x14ac:dyDescent="0.4"/>
  <cols>
    <col min="1" max="1" width="2.59765625" customWidth="1"/>
    <col min="2" max="2" width="10.59765625" customWidth="1"/>
    <col min="3" max="3" width="11.59765625" customWidth="1"/>
    <col min="4" max="4" width="12.59765625" customWidth="1"/>
    <col min="5" max="5" width="9" customWidth="1"/>
    <col min="6" max="6" width="11.59765625" customWidth="1"/>
    <col min="7" max="7" width="12.59765625" customWidth="1"/>
    <col min="8" max="8" width="9" customWidth="1"/>
  </cols>
  <sheetData>
    <row r="1" spans="2:8" ht="21" x14ac:dyDescent="0.4">
      <c r="B1" s="25" t="s">
        <v>65</v>
      </c>
      <c r="C1" s="25"/>
      <c r="D1" s="25"/>
      <c r="E1" s="25"/>
      <c r="F1" s="25"/>
      <c r="G1" s="25"/>
      <c r="H1" s="25"/>
    </row>
    <row r="3" spans="2:8" x14ac:dyDescent="0.4">
      <c r="B3" s="24" t="s">
        <v>50</v>
      </c>
      <c r="C3" s="24" t="s">
        <v>55</v>
      </c>
      <c r="D3" s="24"/>
      <c r="E3" s="24"/>
      <c r="F3" s="24" t="s">
        <v>56</v>
      </c>
      <c r="G3" s="24"/>
      <c r="H3" s="24"/>
    </row>
    <row r="4" spans="2:8" x14ac:dyDescent="0.4">
      <c r="B4" s="24"/>
      <c r="C4" s="3" t="s">
        <v>52</v>
      </c>
      <c r="D4" s="3" t="s">
        <v>53</v>
      </c>
      <c r="E4" s="3" t="s">
        <v>54</v>
      </c>
      <c r="F4" s="3" t="s">
        <v>52</v>
      </c>
      <c r="G4" s="3" t="s">
        <v>53</v>
      </c>
      <c r="H4" s="3" t="s">
        <v>54</v>
      </c>
    </row>
    <row r="5" spans="2:8" x14ac:dyDescent="0.4">
      <c r="B5" s="3" t="s">
        <v>51</v>
      </c>
      <c r="C5" s="5">
        <v>965000</v>
      </c>
      <c r="D5" s="5">
        <v>1250000</v>
      </c>
      <c r="E5" s="6">
        <v>7.0000000000000007E-2</v>
      </c>
      <c r="F5" s="5">
        <v>984300</v>
      </c>
      <c r="G5" s="5">
        <v>1280000</v>
      </c>
      <c r="H5" s="6">
        <v>0.05</v>
      </c>
    </row>
    <row r="6" spans="2:8" x14ac:dyDescent="0.4">
      <c r="B6" s="3" t="s">
        <v>57</v>
      </c>
      <c r="C6" s="5">
        <v>587000</v>
      </c>
      <c r="D6" s="5">
        <v>760000</v>
      </c>
      <c r="E6" s="6">
        <v>0.02</v>
      </c>
      <c r="F6" s="5">
        <v>598700</v>
      </c>
      <c r="G6" s="5">
        <v>780000</v>
      </c>
      <c r="H6" s="6">
        <v>0.01</v>
      </c>
    </row>
    <row r="7" spans="2:8" x14ac:dyDescent="0.4">
      <c r="B7" s="3" t="s">
        <v>58</v>
      </c>
      <c r="C7" s="5">
        <v>634100</v>
      </c>
      <c r="D7" s="5">
        <v>820000</v>
      </c>
      <c r="E7" s="6">
        <v>0.08</v>
      </c>
      <c r="F7" s="5">
        <v>646800</v>
      </c>
      <c r="G7" s="5">
        <v>840000</v>
      </c>
      <c r="H7" s="6">
        <v>0.05</v>
      </c>
    </row>
    <row r="8" spans="2:8" x14ac:dyDescent="0.4">
      <c r="B8" s="3" t="s">
        <v>59</v>
      </c>
      <c r="C8" s="5">
        <v>840000</v>
      </c>
      <c r="D8" s="5">
        <v>1090000</v>
      </c>
      <c r="E8" s="6">
        <v>0.36</v>
      </c>
      <c r="F8" s="5">
        <v>856800</v>
      </c>
      <c r="G8" s="5">
        <v>1110000</v>
      </c>
      <c r="H8" s="6">
        <v>0.39</v>
      </c>
    </row>
    <row r="9" spans="2:8" x14ac:dyDescent="0.4">
      <c r="B9" s="3" t="s">
        <v>60</v>
      </c>
      <c r="C9" s="5">
        <v>904200</v>
      </c>
      <c r="D9" s="5">
        <v>1180000</v>
      </c>
      <c r="E9" s="6">
        <v>0.02</v>
      </c>
      <c r="F9" s="5">
        <v>922300</v>
      </c>
      <c r="G9" s="5">
        <v>1200000</v>
      </c>
      <c r="H9" s="6">
        <v>0.05</v>
      </c>
    </row>
    <row r="10" spans="2:8" x14ac:dyDescent="0.4">
      <c r="B10" s="3" t="s">
        <v>61</v>
      </c>
      <c r="C10" s="5">
        <v>766000</v>
      </c>
      <c r="D10" s="5">
        <v>1000000</v>
      </c>
      <c r="E10" s="6">
        <v>0.15</v>
      </c>
      <c r="F10" s="5">
        <v>781300</v>
      </c>
      <c r="G10" s="5">
        <v>1020000</v>
      </c>
      <c r="H10" s="6">
        <v>0.18</v>
      </c>
    </row>
    <row r="11" spans="2:8" x14ac:dyDescent="0.4">
      <c r="B11" s="3" t="s">
        <v>62</v>
      </c>
      <c r="C11" s="5">
        <v>539500</v>
      </c>
      <c r="D11" s="5">
        <v>700000</v>
      </c>
      <c r="E11" s="6">
        <v>0.02</v>
      </c>
      <c r="F11" s="5">
        <v>550300</v>
      </c>
      <c r="G11" s="5">
        <v>720000</v>
      </c>
      <c r="H11" s="6">
        <v>0.03</v>
      </c>
    </row>
    <row r="12" spans="2:8" x14ac:dyDescent="0.4">
      <c r="B12" s="3" t="s">
        <v>63</v>
      </c>
      <c r="C12" s="5">
        <v>680400</v>
      </c>
      <c r="D12" s="5">
        <v>880000</v>
      </c>
      <c r="E12" s="6">
        <v>0.27</v>
      </c>
      <c r="F12" s="5">
        <v>694000</v>
      </c>
      <c r="G12" s="5">
        <v>900000</v>
      </c>
      <c r="H12" s="6">
        <v>0.23</v>
      </c>
    </row>
    <row r="13" spans="2:8" x14ac:dyDescent="0.4">
      <c r="B13" s="3" t="s">
        <v>64</v>
      </c>
      <c r="C13" s="5">
        <v>812000</v>
      </c>
      <c r="D13" s="5">
        <v>1060000</v>
      </c>
      <c r="E13" s="6">
        <v>0.01</v>
      </c>
      <c r="F13" s="5">
        <v>828200</v>
      </c>
      <c r="G13" s="5">
        <v>1080000</v>
      </c>
      <c r="H13" s="6">
        <v>0.01</v>
      </c>
    </row>
  </sheetData>
  <mergeCells count="4">
    <mergeCell ref="C3:E3"/>
    <mergeCell ref="B3:B4"/>
    <mergeCell ref="F3:H3"/>
    <mergeCell ref="B1:H1"/>
  </mergeCells>
  <phoneticPr fontId="1" type="noConversion"/>
  <conditionalFormatting sqref="B5:H13">
    <cfRule type="expression" priority="2">
      <formula>AND($E5&gt;=3%,$H5&gt;=3%)</formula>
    </cfRule>
    <cfRule type="expression" dxfId="0" priority="1">
      <formula>AND($E5&gt;=3%,$H5&gt;=3%)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J39"/>
  <sheetViews>
    <sheetView tabSelected="1" topLeftCell="A17" workbookViewId="0">
      <selection activeCell="A38" sqref="A38"/>
    </sheetView>
  </sheetViews>
  <sheetFormatPr defaultRowHeight="17.399999999999999" x14ac:dyDescent="0.4"/>
  <cols>
    <col min="4" max="4" width="12.3984375" bestFit="1" customWidth="1"/>
    <col min="5" max="5" width="11.59765625" bestFit="1" customWidth="1"/>
    <col min="7" max="8" width="10.69921875" bestFit="1" customWidth="1"/>
  </cols>
  <sheetData>
    <row r="1" spans="1:10" x14ac:dyDescent="0.4">
      <c r="A1" s="7" t="s">
        <v>88</v>
      </c>
      <c r="B1" s="8" t="s">
        <v>66</v>
      </c>
      <c r="F1" s="7" t="s">
        <v>78</v>
      </c>
      <c r="G1" s="8" t="s">
        <v>131</v>
      </c>
    </row>
    <row r="2" spans="1:10" x14ac:dyDescent="0.4">
      <c r="A2" s="3" t="s">
        <v>67</v>
      </c>
      <c r="B2" s="3" t="s">
        <v>68</v>
      </c>
      <c r="C2" s="3" t="s">
        <v>69</v>
      </c>
      <c r="D2" s="9" t="s">
        <v>70</v>
      </c>
      <c r="G2" s="4"/>
      <c r="H2" s="12">
        <v>44656</v>
      </c>
    </row>
    <row r="3" spans="1:10" x14ac:dyDescent="0.4">
      <c r="A3" s="3">
        <v>10001</v>
      </c>
      <c r="B3" s="3" t="s">
        <v>71</v>
      </c>
      <c r="C3" s="10">
        <v>5.9189814814814813E-2</v>
      </c>
      <c r="D3" s="3">
        <f>IFERROR(_xlfn.RANK.EQ(C3,$C$3:$C$9,1),"실격")</f>
        <v>2</v>
      </c>
      <c r="F3" s="3" t="s">
        <v>79</v>
      </c>
      <c r="G3" s="3" t="s">
        <v>80</v>
      </c>
      <c r="H3" s="9" t="s">
        <v>81</v>
      </c>
    </row>
    <row r="4" spans="1:10" x14ac:dyDescent="0.4">
      <c r="A4" s="3">
        <v>10002</v>
      </c>
      <c r="B4" s="3" t="s">
        <v>72</v>
      </c>
      <c r="C4" s="10">
        <v>6.8136574074074072E-2</v>
      </c>
      <c r="D4" s="3">
        <f t="shared" ref="D4:D9" si="0">IFERROR(_xlfn.RANK.EQ(C4,$C$3:$C$9,1),"실격")</f>
        <v>5</v>
      </c>
      <c r="F4" s="3" t="s">
        <v>82</v>
      </c>
      <c r="G4" s="11">
        <v>43167</v>
      </c>
      <c r="H4" s="3" t="str">
        <f>IF(YEAR($H$2)-YEAR(G4)&gt;=10,"★",IF(YEAR($H$2)-YEAR(G4)&gt;=5,"☆",""))</f>
        <v/>
      </c>
    </row>
    <row r="5" spans="1:10" x14ac:dyDescent="0.4">
      <c r="A5" s="3">
        <v>10003</v>
      </c>
      <c r="B5" s="3" t="s">
        <v>73</v>
      </c>
      <c r="C5" s="10">
        <v>7.0740740740740743E-2</v>
      </c>
      <c r="D5" s="3">
        <f t="shared" si="0"/>
        <v>6</v>
      </c>
      <c r="F5" s="3" t="s">
        <v>83</v>
      </c>
      <c r="G5" s="11">
        <v>42103</v>
      </c>
      <c r="H5" s="3" t="str">
        <f t="shared" ref="H5:H9" si="1">IF(YEAR($H$2)-YEAR(G5)&gt;=10,"★",IF(YEAR($H$2)-YEAR(G5)&gt;=5,"☆",""))</f>
        <v>☆</v>
      </c>
    </row>
    <row r="6" spans="1:10" x14ac:dyDescent="0.4">
      <c r="A6" s="3">
        <v>10004</v>
      </c>
      <c r="B6" s="3" t="s">
        <v>74</v>
      </c>
      <c r="C6" s="10">
        <v>5.7256944444444437E-2</v>
      </c>
      <c r="D6" s="3">
        <f t="shared" si="0"/>
        <v>1</v>
      </c>
      <c r="F6" s="3" t="s">
        <v>84</v>
      </c>
      <c r="G6" s="11">
        <v>43862</v>
      </c>
      <c r="H6" s="3" t="str">
        <f t="shared" si="1"/>
        <v/>
      </c>
    </row>
    <row r="7" spans="1:10" x14ac:dyDescent="0.4">
      <c r="A7" s="3">
        <v>10005</v>
      </c>
      <c r="B7" s="3" t="s">
        <v>75</v>
      </c>
      <c r="C7" s="10">
        <v>6.010416666666666E-2</v>
      </c>
      <c r="D7" s="3">
        <f t="shared" si="0"/>
        <v>3</v>
      </c>
      <c r="F7" s="3" t="s">
        <v>85</v>
      </c>
      <c r="G7" s="11">
        <v>41593</v>
      </c>
      <c r="H7" s="3" t="str">
        <f t="shared" si="1"/>
        <v>☆</v>
      </c>
    </row>
    <row r="8" spans="1:10" x14ac:dyDescent="0.4">
      <c r="A8" s="3">
        <v>10006</v>
      </c>
      <c r="B8" s="3" t="s">
        <v>76</v>
      </c>
      <c r="C8" s="10"/>
      <c r="D8" s="3" t="str">
        <f t="shared" si="0"/>
        <v>실격</v>
      </c>
      <c r="F8" s="3" t="s">
        <v>86</v>
      </c>
      <c r="G8" s="11">
        <v>40095</v>
      </c>
      <c r="H8" s="3" t="str">
        <f t="shared" si="1"/>
        <v>★</v>
      </c>
    </row>
    <row r="9" spans="1:10" x14ac:dyDescent="0.4">
      <c r="A9" s="3">
        <v>10007</v>
      </c>
      <c r="B9" s="3" t="s">
        <v>77</v>
      </c>
      <c r="C9" s="10">
        <v>6.7581018518518512E-2</v>
      </c>
      <c r="D9" s="3">
        <f t="shared" si="0"/>
        <v>4</v>
      </c>
      <c r="F9" s="3" t="s">
        <v>87</v>
      </c>
      <c r="G9" s="11">
        <v>40399</v>
      </c>
      <c r="H9" s="3" t="str">
        <f t="shared" si="1"/>
        <v>★</v>
      </c>
    </row>
    <row r="11" spans="1:10" x14ac:dyDescent="0.4">
      <c r="A11" s="7" t="s">
        <v>89</v>
      </c>
      <c r="B11" s="8" t="s">
        <v>130</v>
      </c>
      <c r="D11" s="4"/>
      <c r="F11" s="7" t="s">
        <v>127</v>
      </c>
      <c r="G11" s="8" t="s">
        <v>129</v>
      </c>
      <c r="I11" s="4"/>
    </row>
    <row r="12" spans="1:10" x14ac:dyDescent="0.4">
      <c r="A12" s="3" t="s">
        <v>90</v>
      </c>
      <c r="B12" s="3" t="s">
        <v>91</v>
      </c>
      <c r="C12" s="3" t="s">
        <v>92</v>
      </c>
      <c r="D12" s="3" t="s">
        <v>93</v>
      </c>
      <c r="F12" s="3" t="s">
        <v>90</v>
      </c>
      <c r="G12" s="3" t="s">
        <v>109</v>
      </c>
      <c r="H12" s="3" t="s">
        <v>110</v>
      </c>
      <c r="I12" s="3" t="s">
        <v>111</v>
      </c>
      <c r="J12" s="9" t="s">
        <v>112</v>
      </c>
    </row>
    <row r="13" spans="1:10" x14ac:dyDescent="0.4">
      <c r="A13" s="3" t="s">
        <v>101</v>
      </c>
      <c r="B13" s="3" t="s">
        <v>98</v>
      </c>
      <c r="C13" s="15">
        <v>3388</v>
      </c>
      <c r="D13" s="15">
        <f t="shared" ref="D13:D20" si="2">C13*1283</f>
        <v>4346804</v>
      </c>
      <c r="F13" s="3" t="s">
        <v>120</v>
      </c>
      <c r="G13" s="14">
        <v>85</v>
      </c>
      <c r="H13" s="14">
        <v>75</v>
      </c>
      <c r="I13" s="14">
        <v>66</v>
      </c>
      <c r="J13" s="14" t="str">
        <f>HLOOKUP(AVERAGE(G13:I13),$G$23:$J$25,3,TRUE)</f>
        <v>보통</v>
      </c>
    </row>
    <row r="14" spans="1:10" x14ac:dyDescent="0.4">
      <c r="A14" s="3" t="s">
        <v>102</v>
      </c>
      <c r="B14" s="3" t="s">
        <v>95</v>
      </c>
      <c r="C14" s="15">
        <v>2461</v>
      </c>
      <c r="D14" s="15">
        <f t="shared" si="2"/>
        <v>3157463</v>
      </c>
      <c r="F14" s="3" t="s">
        <v>119</v>
      </c>
      <c r="G14" s="3">
        <v>91</v>
      </c>
      <c r="H14" s="14">
        <v>84</v>
      </c>
      <c r="I14" s="14">
        <v>90</v>
      </c>
      <c r="J14" s="14" t="str">
        <f t="shared" ref="J14:J20" si="3">HLOOKUP(AVERAGE(G14:I14),$G$23:$J$25,3,TRUE)</f>
        <v>양호</v>
      </c>
    </row>
    <row r="15" spans="1:10" x14ac:dyDescent="0.4">
      <c r="A15" s="3" t="s">
        <v>103</v>
      </c>
      <c r="B15" s="3" t="s">
        <v>96</v>
      </c>
      <c r="C15" s="15">
        <v>2959</v>
      </c>
      <c r="D15" s="15">
        <f t="shared" si="2"/>
        <v>3796397</v>
      </c>
      <c r="F15" s="3" t="s">
        <v>121</v>
      </c>
      <c r="G15" s="3">
        <v>75</v>
      </c>
      <c r="H15" s="14">
        <v>81</v>
      </c>
      <c r="I15" s="14">
        <v>80</v>
      </c>
      <c r="J15" s="14" t="str">
        <f t="shared" si="3"/>
        <v>보통</v>
      </c>
    </row>
    <row r="16" spans="1:10" x14ac:dyDescent="0.4">
      <c r="A16" s="3" t="s">
        <v>100</v>
      </c>
      <c r="B16" s="3" t="s">
        <v>95</v>
      </c>
      <c r="C16" s="15">
        <v>3796</v>
      </c>
      <c r="D16" s="15">
        <f t="shared" si="2"/>
        <v>4870268</v>
      </c>
      <c r="F16" s="3" t="s">
        <v>122</v>
      </c>
      <c r="G16" s="3">
        <v>86</v>
      </c>
      <c r="H16" s="14">
        <v>83</v>
      </c>
      <c r="I16" s="14">
        <v>87</v>
      </c>
      <c r="J16" s="14" t="str">
        <f t="shared" si="3"/>
        <v>양호</v>
      </c>
    </row>
    <row r="17" spans="1:10" x14ac:dyDescent="0.4">
      <c r="A17" s="3" t="s">
        <v>99</v>
      </c>
      <c r="B17" s="3" t="s">
        <v>97</v>
      </c>
      <c r="C17" s="15">
        <v>3502</v>
      </c>
      <c r="D17" s="15">
        <f t="shared" si="2"/>
        <v>4493066</v>
      </c>
      <c r="F17" s="3" t="s">
        <v>123</v>
      </c>
      <c r="G17" s="3">
        <v>96</v>
      </c>
      <c r="H17" s="14">
        <v>97</v>
      </c>
      <c r="I17" s="14">
        <v>96</v>
      </c>
      <c r="J17" s="14" t="str">
        <f t="shared" si="3"/>
        <v>우수</v>
      </c>
    </row>
    <row r="18" spans="1:10" x14ac:dyDescent="0.4">
      <c r="A18" s="3" t="s">
        <v>104</v>
      </c>
      <c r="B18" s="3" t="s">
        <v>108</v>
      </c>
      <c r="C18" s="15">
        <v>2681</v>
      </c>
      <c r="D18" s="15">
        <f t="shared" si="2"/>
        <v>3439723</v>
      </c>
      <c r="F18" s="3" t="s">
        <v>124</v>
      </c>
      <c r="G18" s="3">
        <v>92</v>
      </c>
      <c r="H18" s="14">
        <v>89</v>
      </c>
      <c r="I18" s="14">
        <v>93</v>
      </c>
      <c r="J18" s="14" t="str">
        <f t="shared" si="3"/>
        <v>우수</v>
      </c>
    </row>
    <row r="19" spans="1:10" x14ac:dyDescent="0.4">
      <c r="A19" s="3" t="s">
        <v>105</v>
      </c>
      <c r="B19" s="3" t="s">
        <v>94</v>
      </c>
      <c r="C19" s="15">
        <v>4034</v>
      </c>
      <c r="D19" s="15">
        <f t="shared" si="2"/>
        <v>5175622</v>
      </c>
      <c r="F19" s="3" t="s">
        <v>125</v>
      </c>
      <c r="G19" s="3">
        <v>61</v>
      </c>
      <c r="H19" s="14">
        <v>68</v>
      </c>
      <c r="I19" s="14">
        <v>57</v>
      </c>
      <c r="J19" s="14" t="str">
        <f t="shared" si="3"/>
        <v>미흡</v>
      </c>
    </row>
    <row r="20" spans="1:10" x14ac:dyDescent="0.4">
      <c r="A20" s="3" t="s">
        <v>106</v>
      </c>
      <c r="B20" s="3" t="s">
        <v>95</v>
      </c>
      <c r="C20" s="15">
        <v>3498</v>
      </c>
      <c r="D20" s="15">
        <f t="shared" si="2"/>
        <v>4487934</v>
      </c>
      <c r="F20" s="3" t="s">
        <v>126</v>
      </c>
      <c r="G20" s="3">
        <v>79</v>
      </c>
      <c r="H20" s="14">
        <v>73</v>
      </c>
      <c r="I20" s="14">
        <v>81</v>
      </c>
      <c r="J20" s="14" t="str">
        <f t="shared" si="3"/>
        <v>보통</v>
      </c>
    </row>
    <row r="22" spans="1:10" x14ac:dyDescent="0.4">
      <c r="C22" s="3" t="s">
        <v>91</v>
      </c>
      <c r="D22" s="9" t="s">
        <v>107</v>
      </c>
      <c r="F22" s="16" t="s">
        <v>113</v>
      </c>
    </row>
    <row r="23" spans="1:10" x14ac:dyDescent="0.4">
      <c r="C23" s="3" t="s">
        <v>94</v>
      </c>
      <c r="D23" s="14">
        <f>ROUND(DAVERAGE(A12:D20,D12,C22:C23),1)</f>
        <v>4422821.8</v>
      </c>
      <c r="F23" s="26" t="s">
        <v>114</v>
      </c>
      <c r="G23" s="3">
        <v>0</v>
      </c>
      <c r="H23" s="3">
        <v>70</v>
      </c>
      <c r="I23" s="3">
        <v>80</v>
      </c>
      <c r="J23" s="3">
        <v>90</v>
      </c>
    </row>
    <row r="24" spans="1:10" x14ac:dyDescent="0.4">
      <c r="F24" s="27"/>
      <c r="G24" s="3">
        <v>70</v>
      </c>
      <c r="H24" s="3">
        <v>80</v>
      </c>
      <c r="I24" s="3">
        <v>90</v>
      </c>
      <c r="J24" s="3">
        <v>100</v>
      </c>
    </row>
    <row r="25" spans="1:10" x14ac:dyDescent="0.4">
      <c r="F25" s="3" t="s">
        <v>112</v>
      </c>
      <c r="G25" s="3" t="s">
        <v>115</v>
      </c>
      <c r="H25" s="3" t="s">
        <v>116</v>
      </c>
      <c r="I25" s="3" t="s">
        <v>117</v>
      </c>
      <c r="J25" s="3" t="s">
        <v>118</v>
      </c>
    </row>
    <row r="26" spans="1:10" x14ac:dyDescent="0.4">
      <c r="A26" s="7" t="s">
        <v>128</v>
      </c>
      <c r="B26" s="8" t="s">
        <v>132</v>
      </c>
      <c r="D26" s="4"/>
    </row>
    <row r="27" spans="1:10" x14ac:dyDescent="0.4">
      <c r="A27" s="3" t="s">
        <v>133</v>
      </c>
      <c r="B27" s="3" t="s">
        <v>134</v>
      </c>
      <c r="C27" s="3" t="s">
        <v>135</v>
      </c>
      <c r="D27" s="3" t="s">
        <v>136</v>
      </c>
      <c r="E27" s="3" t="s">
        <v>137</v>
      </c>
    </row>
    <row r="28" spans="1:10" x14ac:dyDescent="0.4">
      <c r="A28" s="3" t="s">
        <v>140</v>
      </c>
      <c r="B28" s="3" t="s">
        <v>148</v>
      </c>
      <c r="C28" s="14" t="s">
        <v>139</v>
      </c>
      <c r="D28" s="14">
        <v>691</v>
      </c>
      <c r="E28" s="13">
        <f>D28*12500</f>
        <v>8637500</v>
      </c>
    </row>
    <row r="29" spans="1:10" x14ac:dyDescent="0.4">
      <c r="A29" s="3" t="s">
        <v>141</v>
      </c>
      <c r="B29" s="3" t="s">
        <v>149</v>
      </c>
      <c r="C29" s="14" t="s">
        <v>150</v>
      </c>
      <c r="D29" s="14">
        <v>567</v>
      </c>
      <c r="E29" s="13">
        <f t="shared" ref="E29:E36" si="4">D29*12500</f>
        <v>7087500</v>
      </c>
    </row>
    <row r="30" spans="1:10" x14ac:dyDescent="0.4">
      <c r="A30" s="3" t="s">
        <v>142</v>
      </c>
      <c r="B30" s="3" t="s">
        <v>151</v>
      </c>
      <c r="C30" s="14" t="s">
        <v>152</v>
      </c>
      <c r="D30" s="14">
        <v>816</v>
      </c>
      <c r="E30" s="13">
        <f t="shared" si="4"/>
        <v>10200000</v>
      </c>
    </row>
    <row r="31" spans="1:10" x14ac:dyDescent="0.4">
      <c r="A31" s="3" t="s">
        <v>143</v>
      </c>
      <c r="B31" s="3" t="s">
        <v>149</v>
      </c>
      <c r="C31" s="14" t="s">
        <v>150</v>
      </c>
      <c r="D31" s="14">
        <v>733</v>
      </c>
      <c r="E31" s="13">
        <f t="shared" si="4"/>
        <v>9162500</v>
      </c>
    </row>
    <row r="32" spans="1:10" x14ac:dyDescent="0.4">
      <c r="A32" s="3" t="s">
        <v>144</v>
      </c>
      <c r="B32" s="3" t="s">
        <v>148</v>
      </c>
      <c r="C32" s="14" t="s">
        <v>139</v>
      </c>
      <c r="D32" s="14">
        <v>594</v>
      </c>
      <c r="E32" s="13">
        <f t="shared" si="4"/>
        <v>7425000</v>
      </c>
    </row>
    <row r="33" spans="1:5" x14ac:dyDescent="0.4">
      <c r="A33" s="3" t="s">
        <v>145</v>
      </c>
      <c r="B33" s="3" t="s">
        <v>151</v>
      </c>
      <c r="C33" s="14" t="s">
        <v>152</v>
      </c>
      <c r="D33" s="14">
        <v>834</v>
      </c>
      <c r="E33" s="13">
        <f t="shared" si="4"/>
        <v>10425000</v>
      </c>
    </row>
    <row r="34" spans="1:5" x14ac:dyDescent="0.4">
      <c r="A34" s="3" t="s">
        <v>146</v>
      </c>
      <c r="B34" s="3" t="s">
        <v>149</v>
      </c>
      <c r="C34" s="14" t="s">
        <v>150</v>
      </c>
      <c r="D34" s="14">
        <v>765</v>
      </c>
      <c r="E34" s="13">
        <f t="shared" si="4"/>
        <v>9562500</v>
      </c>
    </row>
    <row r="35" spans="1:5" x14ac:dyDescent="0.4">
      <c r="A35" s="3" t="s">
        <v>147</v>
      </c>
      <c r="B35" s="3" t="s">
        <v>148</v>
      </c>
      <c r="C35" s="14" t="s">
        <v>139</v>
      </c>
      <c r="D35" s="14">
        <v>702</v>
      </c>
      <c r="E35" s="13">
        <f t="shared" si="4"/>
        <v>8775000</v>
      </c>
    </row>
    <row r="36" spans="1:5" x14ac:dyDescent="0.4">
      <c r="A36" s="3" t="s">
        <v>153</v>
      </c>
      <c r="B36" s="3" t="s">
        <v>151</v>
      </c>
      <c r="C36" s="14" t="s">
        <v>152</v>
      </c>
      <c r="D36" s="14">
        <v>627</v>
      </c>
      <c r="E36" s="13">
        <f t="shared" si="4"/>
        <v>7837500</v>
      </c>
    </row>
    <row r="38" spans="1:5" x14ac:dyDescent="0.4">
      <c r="A38" s="3" t="s">
        <v>138</v>
      </c>
      <c r="B38" s="3" t="s">
        <v>139</v>
      </c>
      <c r="D38" s="9" t="s">
        <v>154</v>
      </c>
      <c r="E38" s="9" t="s">
        <v>155</v>
      </c>
    </row>
    <row r="39" spans="1:5" x14ac:dyDescent="0.4">
      <c r="D39" s="13">
        <f>SUMIFS(D28:D36,$B$28:$B$36,$A$38,$C$28:$C$36,$B$38)</f>
        <v>1987</v>
      </c>
      <c r="E39" s="13">
        <f>SUMIFS(E28:E36,$B$28:$B$36,$A$38,$C$28:$C$36,$B$38)</f>
        <v>24837500</v>
      </c>
    </row>
  </sheetData>
  <mergeCells count="1">
    <mergeCell ref="F23:F24"/>
  </mergeCells>
  <phoneticPr fontId="1" type="noConversion"/>
  <dataValidations count="2">
    <dataValidation type="list" allowBlank="1" showInputMessage="1" showErrorMessage="1" sqref="A38" xr:uid="{00000000-0002-0000-0300-000000000000}">
      <formula1>$B$28:$B$30</formula1>
    </dataValidation>
    <dataValidation type="list" allowBlank="1" showInputMessage="1" showErrorMessage="1" sqref="B38" xr:uid="{00000000-0002-0000-0300-000001000000}">
      <formula1>$C$28:$C$29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G27"/>
  <sheetViews>
    <sheetView topLeftCell="A16" workbookViewId="0">
      <selection activeCell="E23" sqref="E23"/>
    </sheetView>
  </sheetViews>
  <sheetFormatPr defaultRowHeight="17.399999999999999" x14ac:dyDescent="0.4"/>
  <cols>
    <col min="1" max="1" width="2.59765625" customWidth="1"/>
    <col min="2" max="2" width="16.796875" bestFit="1" customWidth="1"/>
    <col min="3" max="3" width="11.19921875" bestFit="1" customWidth="1"/>
    <col min="4" max="6" width="9.3984375" bestFit="1" customWidth="1"/>
    <col min="7" max="8" width="12.296875" bestFit="1" customWidth="1"/>
    <col min="9" max="10" width="16.8984375" bestFit="1" customWidth="1"/>
  </cols>
  <sheetData>
    <row r="1" spans="2:7" ht="21" x14ac:dyDescent="0.4">
      <c r="B1" s="25" t="s">
        <v>156</v>
      </c>
      <c r="C1" s="25"/>
      <c r="D1" s="25"/>
      <c r="E1" s="25"/>
      <c r="F1" s="25"/>
      <c r="G1" s="25"/>
    </row>
    <row r="2" spans="2:7" x14ac:dyDescent="0.4">
      <c r="G2" s="4" t="s">
        <v>162</v>
      </c>
    </row>
    <row r="3" spans="2:7" x14ac:dyDescent="0.4">
      <c r="B3" s="3" t="s">
        <v>157</v>
      </c>
      <c r="C3" s="3" t="s">
        <v>158</v>
      </c>
      <c r="D3" s="3" t="s">
        <v>0</v>
      </c>
      <c r="E3" s="3" t="s">
        <v>159</v>
      </c>
      <c r="F3" s="3" t="s">
        <v>160</v>
      </c>
      <c r="G3" s="3" t="s">
        <v>161</v>
      </c>
    </row>
    <row r="4" spans="2:7" x14ac:dyDescent="0.4">
      <c r="B4" s="3" t="s">
        <v>163</v>
      </c>
      <c r="C4" s="3" t="s">
        <v>164</v>
      </c>
      <c r="D4" s="3" t="s">
        <v>165</v>
      </c>
      <c r="E4" s="3" t="s">
        <v>171</v>
      </c>
      <c r="F4" s="17">
        <v>648</v>
      </c>
      <c r="G4" s="17">
        <v>8035200</v>
      </c>
    </row>
    <row r="5" spans="2:7" x14ac:dyDescent="0.4">
      <c r="B5" s="3" t="s">
        <v>166</v>
      </c>
      <c r="C5" s="3" t="s">
        <v>167</v>
      </c>
      <c r="D5" s="3" t="s">
        <v>169</v>
      </c>
      <c r="E5" s="3" t="s">
        <v>172</v>
      </c>
      <c r="F5" s="17">
        <v>1295</v>
      </c>
      <c r="G5" s="17">
        <v>34965000</v>
      </c>
    </row>
    <row r="6" spans="2:7" x14ac:dyDescent="0.4">
      <c r="B6" s="3" t="s">
        <v>170</v>
      </c>
      <c r="C6" s="3" t="s">
        <v>168</v>
      </c>
      <c r="D6" s="3" t="s">
        <v>194</v>
      </c>
      <c r="E6" s="3" t="s">
        <v>173</v>
      </c>
      <c r="F6" s="17">
        <v>2476</v>
      </c>
      <c r="G6" s="17">
        <v>10622040</v>
      </c>
    </row>
    <row r="7" spans="2:7" x14ac:dyDescent="0.4">
      <c r="B7" s="3" t="s">
        <v>170</v>
      </c>
      <c r="C7" s="3" t="s">
        <v>190</v>
      </c>
      <c r="D7" s="3" t="s">
        <v>195</v>
      </c>
      <c r="E7" s="3" t="s">
        <v>174</v>
      </c>
      <c r="F7" s="17">
        <v>952</v>
      </c>
      <c r="G7" s="17">
        <v>12852000</v>
      </c>
    </row>
    <row r="8" spans="2:7" x14ac:dyDescent="0.4">
      <c r="B8" s="3" t="s">
        <v>163</v>
      </c>
      <c r="C8" s="3" t="s">
        <v>185</v>
      </c>
      <c r="D8" s="3" t="s">
        <v>191</v>
      </c>
      <c r="E8" s="3" t="s">
        <v>175</v>
      </c>
      <c r="F8" s="17">
        <v>897</v>
      </c>
      <c r="G8" s="17">
        <v>6099600</v>
      </c>
    </row>
    <row r="9" spans="2:7" x14ac:dyDescent="0.4">
      <c r="B9" s="3" t="s">
        <v>170</v>
      </c>
      <c r="C9" s="3" t="s">
        <v>167</v>
      </c>
      <c r="D9" s="3" t="s">
        <v>192</v>
      </c>
      <c r="E9" s="3" t="s">
        <v>176</v>
      </c>
      <c r="F9" s="17">
        <v>1095</v>
      </c>
      <c r="G9" s="17">
        <v>23433000</v>
      </c>
    </row>
    <row r="10" spans="2:7" x14ac:dyDescent="0.4">
      <c r="B10" s="3" t="s">
        <v>166</v>
      </c>
      <c r="C10" s="3" t="s">
        <v>187</v>
      </c>
      <c r="D10" s="3" t="s">
        <v>193</v>
      </c>
      <c r="E10" s="3" t="s">
        <v>177</v>
      </c>
      <c r="F10" s="17">
        <v>3471</v>
      </c>
      <c r="G10" s="17">
        <v>38528100</v>
      </c>
    </row>
    <row r="11" spans="2:7" x14ac:dyDescent="0.4">
      <c r="B11" s="3" t="s">
        <v>163</v>
      </c>
      <c r="C11" s="3" t="s">
        <v>184</v>
      </c>
      <c r="D11" s="3" t="s">
        <v>192</v>
      </c>
      <c r="E11" s="3" t="s">
        <v>178</v>
      </c>
      <c r="F11" s="17">
        <v>2486</v>
      </c>
      <c r="G11" s="17">
        <v>70751560</v>
      </c>
    </row>
    <row r="12" spans="2:7" x14ac:dyDescent="0.4">
      <c r="B12" s="3" t="s">
        <v>163</v>
      </c>
      <c r="C12" s="3" t="s">
        <v>186</v>
      </c>
      <c r="D12" s="3" t="s">
        <v>192</v>
      </c>
      <c r="E12" s="3" t="s">
        <v>179</v>
      </c>
      <c r="F12" s="17">
        <v>1649</v>
      </c>
      <c r="G12" s="17">
        <v>14824510</v>
      </c>
    </row>
    <row r="13" spans="2:7" x14ac:dyDescent="0.4">
      <c r="B13" s="3" t="s">
        <v>166</v>
      </c>
      <c r="C13" s="3" t="s">
        <v>188</v>
      </c>
      <c r="D13" s="3" t="s">
        <v>191</v>
      </c>
      <c r="E13" s="3" t="s">
        <v>180</v>
      </c>
      <c r="F13" s="17">
        <v>734</v>
      </c>
      <c r="G13" s="17">
        <v>2436880</v>
      </c>
    </row>
    <row r="14" spans="2:7" x14ac:dyDescent="0.4">
      <c r="B14" s="3" t="s">
        <v>170</v>
      </c>
      <c r="C14" s="3" t="s">
        <v>189</v>
      </c>
      <c r="D14" s="3" t="s">
        <v>191</v>
      </c>
      <c r="E14" s="3" t="s">
        <v>181</v>
      </c>
      <c r="F14" s="17">
        <v>1386</v>
      </c>
      <c r="G14" s="17">
        <v>10575180</v>
      </c>
    </row>
    <row r="15" spans="2:7" x14ac:dyDescent="0.4">
      <c r="B15" s="3" t="s">
        <v>166</v>
      </c>
      <c r="C15" s="3" t="s">
        <v>190</v>
      </c>
      <c r="D15" s="3" t="s">
        <v>193</v>
      </c>
      <c r="E15" s="3" t="s">
        <v>182</v>
      </c>
      <c r="F15" s="17">
        <v>574</v>
      </c>
      <c r="G15" s="17">
        <v>3989300</v>
      </c>
    </row>
    <row r="16" spans="2:7" x14ac:dyDescent="0.4">
      <c r="B16" s="3" t="s">
        <v>163</v>
      </c>
      <c r="C16" s="3" t="s">
        <v>184</v>
      </c>
      <c r="D16" s="3" t="s">
        <v>191</v>
      </c>
      <c r="E16" s="3" t="s">
        <v>183</v>
      </c>
      <c r="F16" s="17">
        <v>2240</v>
      </c>
      <c r="G16" s="17">
        <v>73024000</v>
      </c>
    </row>
    <row r="20" spans="2:5" x14ac:dyDescent="0.4">
      <c r="C20" s="34" t="s">
        <v>254</v>
      </c>
    </row>
    <row r="21" spans="2:5" x14ac:dyDescent="0.4">
      <c r="B21" s="34" t="s">
        <v>251</v>
      </c>
      <c r="C21" t="s">
        <v>255</v>
      </c>
      <c r="D21" t="s">
        <v>256</v>
      </c>
      <c r="E21" t="s">
        <v>257</v>
      </c>
    </row>
    <row r="22" spans="2:5" x14ac:dyDescent="0.4">
      <c r="B22" s="16" t="s">
        <v>252</v>
      </c>
      <c r="C22" s="35"/>
      <c r="D22" s="35"/>
      <c r="E22" s="35"/>
    </row>
    <row r="23" spans="2:5" x14ac:dyDescent="0.4">
      <c r="B23" s="36" t="s">
        <v>258</v>
      </c>
      <c r="C23" s="35">
        <v>7596</v>
      </c>
      <c r="D23" s="35">
        <v>3581</v>
      </c>
      <c r="E23" s="35">
        <v>1222</v>
      </c>
    </row>
    <row r="24" spans="2:5" x14ac:dyDescent="0.4">
      <c r="B24" s="36" t="s">
        <v>259</v>
      </c>
      <c r="C24" s="35">
        <v>38528100</v>
      </c>
      <c r="D24" s="35">
        <v>70751560</v>
      </c>
      <c r="E24" s="35">
        <v>8035200</v>
      </c>
    </row>
    <row r="25" spans="2:5" x14ac:dyDescent="0.4">
      <c r="B25" s="16" t="s">
        <v>253</v>
      </c>
      <c r="C25" s="35"/>
      <c r="D25" s="35"/>
      <c r="E25" s="35"/>
    </row>
    <row r="26" spans="2:5" x14ac:dyDescent="0.4">
      <c r="B26" s="36" t="s">
        <v>258</v>
      </c>
      <c r="C26" s="35">
        <v>1631</v>
      </c>
      <c r="D26" s="35">
        <v>4921</v>
      </c>
      <c r="E26" s="35">
        <v>952</v>
      </c>
    </row>
    <row r="27" spans="2:5" x14ac:dyDescent="0.4">
      <c r="B27" s="36" t="s">
        <v>259</v>
      </c>
      <c r="C27" s="35">
        <v>6099600</v>
      </c>
      <c r="D27" s="35">
        <v>73024000</v>
      </c>
      <c r="E27" s="35">
        <v>12852000</v>
      </c>
    </row>
  </sheetData>
  <mergeCells count="1">
    <mergeCell ref="B1:G1"/>
  </mergeCells>
  <phoneticPr fontId="1" type="noConversion"/>
  <pageMargins left="0.7" right="0.7" top="0.75" bottom="0.75" header="0.3" footer="0.3"/>
  <pageSetup paperSize="9" orientation="portrait" verticalDpi="0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375430-227C-4AB8-8B41-34BD01F73604}">
  <sheetPr>
    <outlinePr summaryBelow="0"/>
  </sheetPr>
  <dimension ref="B1:F11"/>
  <sheetViews>
    <sheetView showGridLines="0" workbookViewId="0"/>
  </sheetViews>
  <sheetFormatPr defaultRowHeight="17.399999999999999" outlineLevelRow="1" outlineLevelCol="1" x14ac:dyDescent="0.4"/>
  <cols>
    <col min="3" max="3" width="10.3984375" bestFit="1" customWidth="1"/>
    <col min="4" max="6" width="10.69921875" bestFit="1" customWidth="1" outlineLevel="1"/>
  </cols>
  <sheetData>
    <row r="1" spans="2:6" ht="18" thickBot="1" x14ac:dyDescent="0.45"/>
    <row r="2" spans="2:6" x14ac:dyDescent="0.4">
      <c r="B2" s="41" t="s">
        <v>265</v>
      </c>
      <c r="C2" s="42"/>
      <c r="D2" s="48"/>
      <c r="E2" s="48"/>
      <c r="F2" s="48"/>
    </row>
    <row r="3" spans="2:6" collapsed="1" x14ac:dyDescent="0.4">
      <c r="B3" s="40"/>
      <c r="C3" s="40"/>
      <c r="D3" s="49" t="s">
        <v>267</v>
      </c>
      <c r="E3" s="49" t="s">
        <v>262</v>
      </c>
      <c r="F3" s="49" t="s">
        <v>264</v>
      </c>
    </row>
    <row r="4" spans="2:6" ht="46.8" hidden="1" outlineLevel="1" x14ac:dyDescent="0.4">
      <c r="B4" s="44"/>
      <c r="C4" s="44"/>
      <c r="D4" s="37"/>
      <c r="E4" s="51" t="s">
        <v>263</v>
      </c>
      <c r="F4" s="51" t="s">
        <v>263</v>
      </c>
    </row>
    <row r="5" spans="2:6" x14ac:dyDescent="0.4">
      <c r="B5" s="45" t="s">
        <v>266</v>
      </c>
      <c r="C5" s="46"/>
      <c r="D5" s="43"/>
      <c r="E5" s="43"/>
      <c r="F5" s="43"/>
    </row>
    <row r="6" spans="2:6" outlineLevel="1" x14ac:dyDescent="0.4">
      <c r="B6" s="44"/>
      <c r="C6" s="44" t="s">
        <v>260</v>
      </c>
      <c r="D6" s="38">
        <v>1200</v>
      </c>
      <c r="E6" s="50">
        <v>1250</v>
      </c>
      <c r="F6" s="50">
        <v>1150</v>
      </c>
    </row>
    <row r="7" spans="2:6" x14ac:dyDescent="0.4">
      <c r="B7" s="45" t="s">
        <v>268</v>
      </c>
      <c r="C7" s="46"/>
      <c r="D7" s="43"/>
      <c r="E7" s="43"/>
      <c r="F7" s="43"/>
    </row>
    <row r="8" spans="2:6" ht="18" outlineLevel="1" thickBot="1" x14ac:dyDescent="0.45">
      <c r="B8" s="47"/>
      <c r="C8" s="47" t="s">
        <v>261</v>
      </c>
      <c r="D8" s="39">
        <v>4941600</v>
      </c>
      <c r="E8" s="39">
        <v>5147500</v>
      </c>
      <c r="F8" s="39">
        <v>4735700</v>
      </c>
    </row>
    <row r="9" spans="2:6" x14ac:dyDescent="0.4">
      <c r="B9" t="s">
        <v>269</v>
      </c>
    </row>
    <row r="10" spans="2:6" x14ac:dyDescent="0.4">
      <c r="B10" t="s">
        <v>270</v>
      </c>
    </row>
    <row r="11" spans="2:6" x14ac:dyDescent="0.4">
      <c r="B11" t="s">
        <v>271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G13"/>
  <sheetViews>
    <sheetView workbookViewId="0">
      <selection activeCell="G13" sqref="G13"/>
    </sheetView>
  </sheetViews>
  <sheetFormatPr defaultRowHeight="17.399999999999999" x14ac:dyDescent="0.4"/>
  <cols>
    <col min="1" max="1" width="2.59765625" customWidth="1"/>
    <col min="4" max="4" width="11.59765625" bestFit="1" customWidth="1"/>
    <col min="6" max="7" width="11.59765625" bestFit="1" customWidth="1"/>
  </cols>
  <sheetData>
    <row r="1" spans="2:7" ht="21" x14ac:dyDescent="0.4">
      <c r="B1" s="25" t="s">
        <v>196</v>
      </c>
      <c r="C1" s="25"/>
      <c r="D1" s="25"/>
      <c r="E1" s="25"/>
      <c r="F1" s="25"/>
      <c r="G1" s="25"/>
    </row>
    <row r="2" spans="2:7" x14ac:dyDescent="0.4">
      <c r="F2" s="18" t="s">
        <v>203</v>
      </c>
      <c r="G2" s="19">
        <v>1200</v>
      </c>
    </row>
    <row r="3" spans="2:7" x14ac:dyDescent="0.4">
      <c r="B3" s="3" t="s">
        <v>197</v>
      </c>
      <c r="C3" s="3" t="s">
        <v>198</v>
      </c>
      <c r="D3" s="3" t="s">
        <v>199</v>
      </c>
      <c r="E3" s="3" t="s">
        <v>200</v>
      </c>
      <c r="F3" s="3" t="s">
        <v>201</v>
      </c>
      <c r="G3" s="3" t="s">
        <v>202</v>
      </c>
    </row>
    <row r="4" spans="2:7" x14ac:dyDescent="0.4">
      <c r="B4" s="3" t="s">
        <v>205</v>
      </c>
      <c r="C4" s="3" t="s">
        <v>209</v>
      </c>
      <c r="D4" s="13">
        <v>150</v>
      </c>
      <c r="E4" s="3">
        <v>3</v>
      </c>
      <c r="F4" s="3">
        <v>4</v>
      </c>
      <c r="G4" s="20">
        <f>(D4*E4*$G$2)+(F4*$G$2)</f>
        <v>544800</v>
      </c>
    </row>
    <row r="5" spans="2:7" x14ac:dyDescent="0.4">
      <c r="B5" s="3" t="s">
        <v>207</v>
      </c>
      <c r="C5" s="3" t="s">
        <v>210</v>
      </c>
      <c r="D5" s="13">
        <v>80</v>
      </c>
      <c r="E5" s="3">
        <v>1</v>
      </c>
      <c r="F5" s="3">
        <v>3</v>
      </c>
      <c r="G5" s="20">
        <f t="shared" ref="G5:G12" si="0">(D5*E5*$G$2)+(F5*$G$2)</f>
        <v>99600</v>
      </c>
    </row>
    <row r="6" spans="2:7" x14ac:dyDescent="0.4">
      <c r="B6" s="3" t="s">
        <v>206</v>
      </c>
      <c r="C6" s="3" t="s">
        <v>211</v>
      </c>
      <c r="D6" s="13">
        <v>384</v>
      </c>
      <c r="E6" s="3">
        <v>2</v>
      </c>
      <c r="F6" s="3">
        <v>6</v>
      </c>
      <c r="G6" s="20">
        <f t="shared" si="0"/>
        <v>928800</v>
      </c>
    </row>
    <row r="7" spans="2:7" x14ac:dyDescent="0.4">
      <c r="B7" s="3" t="s">
        <v>205</v>
      </c>
      <c r="C7" s="3" t="s">
        <v>212</v>
      </c>
      <c r="D7" s="13">
        <v>55</v>
      </c>
      <c r="E7" s="3">
        <v>5</v>
      </c>
      <c r="F7" s="3">
        <v>12</v>
      </c>
      <c r="G7" s="20">
        <f t="shared" si="0"/>
        <v>344400</v>
      </c>
    </row>
    <row r="8" spans="2:7" x14ac:dyDescent="0.4">
      <c r="B8" s="3" t="s">
        <v>208</v>
      </c>
      <c r="C8" s="3" t="s">
        <v>213</v>
      </c>
      <c r="D8" s="13">
        <v>97</v>
      </c>
      <c r="E8" s="3">
        <v>2</v>
      </c>
      <c r="F8" s="3">
        <v>5</v>
      </c>
      <c r="G8" s="20">
        <f t="shared" si="0"/>
        <v>238800</v>
      </c>
    </row>
    <row r="9" spans="2:7" x14ac:dyDescent="0.4">
      <c r="B9" s="3" t="s">
        <v>206</v>
      </c>
      <c r="C9" s="3" t="s">
        <v>214</v>
      </c>
      <c r="D9" s="13">
        <v>265</v>
      </c>
      <c r="E9" s="3">
        <v>4</v>
      </c>
      <c r="F9" s="3">
        <v>10</v>
      </c>
      <c r="G9" s="20">
        <f t="shared" si="0"/>
        <v>1284000</v>
      </c>
    </row>
    <row r="10" spans="2:7" x14ac:dyDescent="0.4">
      <c r="B10" s="3" t="s">
        <v>206</v>
      </c>
      <c r="C10" s="3" t="s">
        <v>215</v>
      </c>
      <c r="D10" s="13">
        <v>200</v>
      </c>
      <c r="E10" s="3">
        <v>3</v>
      </c>
      <c r="F10" s="3">
        <v>8</v>
      </c>
      <c r="G10" s="20">
        <f t="shared" si="0"/>
        <v>729600</v>
      </c>
    </row>
    <row r="11" spans="2:7" x14ac:dyDescent="0.4">
      <c r="B11" s="3" t="s">
        <v>205</v>
      </c>
      <c r="C11" s="3" t="s">
        <v>216</v>
      </c>
      <c r="D11" s="13">
        <v>83</v>
      </c>
      <c r="E11" s="3">
        <v>3</v>
      </c>
      <c r="F11" s="3">
        <v>7</v>
      </c>
      <c r="G11" s="20">
        <f t="shared" si="0"/>
        <v>307200</v>
      </c>
    </row>
    <row r="12" spans="2:7" x14ac:dyDescent="0.4">
      <c r="B12" s="3" t="s">
        <v>208</v>
      </c>
      <c r="C12" s="3" t="s">
        <v>217</v>
      </c>
      <c r="D12" s="13">
        <v>191</v>
      </c>
      <c r="E12" s="3">
        <v>2</v>
      </c>
      <c r="F12" s="3">
        <v>5</v>
      </c>
      <c r="G12" s="20">
        <f t="shared" si="0"/>
        <v>464400</v>
      </c>
    </row>
    <row r="13" spans="2:7" x14ac:dyDescent="0.4">
      <c r="F13" s="3" t="s">
        <v>204</v>
      </c>
      <c r="G13" s="20">
        <f>SUM(G4:G12)</f>
        <v>4941600</v>
      </c>
    </row>
  </sheetData>
  <scenarios current="0" sqref="G13">
    <scenario name="환율증가" locked="1" count="1" user="ylose" comment="만든 사람 ylose 날짜 2023-07-25">
      <inputCells r="G2" val="1250" numFmtId="41"/>
    </scenario>
    <scenario name="환율감소" locked="1" count="1" user="ylose" comment="만든 사람 ylose 날짜 2023-07-25">
      <inputCells r="G2" val="1150" numFmtId="41"/>
    </scenario>
  </scenarios>
  <mergeCells count="1">
    <mergeCell ref="B1:G1"/>
  </mergeCells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B1:F13"/>
  <sheetViews>
    <sheetView workbookViewId="0">
      <selection activeCell="M19" sqref="M19"/>
    </sheetView>
  </sheetViews>
  <sheetFormatPr defaultRowHeight="17.399999999999999" x14ac:dyDescent="0.4"/>
  <cols>
    <col min="1" max="1" width="2.59765625" customWidth="1"/>
    <col min="2" max="6" width="9.59765625" customWidth="1"/>
  </cols>
  <sheetData>
    <row r="1" spans="2:6" ht="21" x14ac:dyDescent="0.4">
      <c r="B1" s="25" t="s">
        <v>218</v>
      </c>
      <c r="C1" s="25"/>
      <c r="D1" s="25"/>
      <c r="E1" s="25"/>
      <c r="F1" s="25"/>
    </row>
    <row r="3" spans="2:6" x14ac:dyDescent="0.4">
      <c r="B3" s="1" t="s">
        <v>219</v>
      </c>
      <c r="C3" s="1" t="s">
        <v>220</v>
      </c>
      <c r="D3" s="1" t="s">
        <v>221</v>
      </c>
      <c r="E3" s="1" t="s">
        <v>222</v>
      </c>
      <c r="F3" s="1" t="s">
        <v>223</v>
      </c>
    </row>
    <row r="4" spans="2:6" x14ac:dyDescent="0.4">
      <c r="B4" s="1" t="s">
        <v>224</v>
      </c>
      <c r="C4" s="1" t="s">
        <v>229</v>
      </c>
      <c r="D4" s="21">
        <v>1200</v>
      </c>
      <c r="E4" s="22">
        <v>25</v>
      </c>
      <c r="F4" s="21"/>
    </row>
    <row r="5" spans="2:6" x14ac:dyDescent="0.4">
      <c r="B5" s="1" t="s">
        <v>225</v>
      </c>
      <c r="C5" s="1" t="s">
        <v>238</v>
      </c>
      <c r="D5" s="21">
        <v>1500</v>
      </c>
      <c r="E5" s="22">
        <v>15</v>
      </c>
      <c r="F5" s="21"/>
    </row>
    <row r="6" spans="2:6" x14ac:dyDescent="0.4">
      <c r="B6" s="1" t="s">
        <v>226</v>
      </c>
      <c r="C6" s="1" t="s">
        <v>231</v>
      </c>
      <c r="D6" s="21">
        <v>1800</v>
      </c>
      <c r="E6" s="22">
        <v>10</v>
      </c>
      <c r="F6" s="21"/>
    </row>
    <row r="7" spans="2:6" x14ac:dyDescent="0.4">
      <c r="B7" s="1" t="s">
        <v>227</v>
      </c>
      <c r="C7" s="1" t="s">
        <v>232</v>
      </c>
      <c r="D7" s="21">
        <v>1400</v>
      </c>
      <c r="E7" s="22">
        <v>20</v>
      </c>
      <c r="F7" s="21"/>
    </row>
    <row r="8" spans="2:6" x14ac:dyDescent="0.4">
      <c r="B8" s="1" t="s">
        <v>228</v>
      </c>
      <c r="C8" s="1" t="s">
        <v>233</v>
      </c>
      <c r="D8" s="21">
        <v>1600</v>
      </c>
      <c r="E8" s="22">
        <v>25</v>
      </c>
      <c r="F8" s="21"/>
    </row>
    <row r="9" spans="2:6" x14ac:dyDescent="0.4">
      <c r="B9" s="1" t="s">
        <v>234</v>
      </c>
      <c r="C9" s="1" t="s">
        <v>237</v>
      </c>
      <c r="D9" s="21">
        <v>1500</v>
      </c>
      <c r="E9" s="22">
        <v>30</v>
      </c>
      <c r="F9" s="21"/>
    </row>
    <row r="10" spans="2:6" x14ac:dyDescent="0.4">
      <c r="B10" s="1" t="s">
        <v>235</v>
      </c>
      <c r="C10" s="1" t="s">
        <v>239</v>
      </c>
      <c r="D10" s="21">
        <v>1700</v>
      </c>
      <c r="E10" s="22">
        <v>15</v>
      </c>
      <c r="F10" s="21"/>
    </row>
    <row r="11" spans="2:6" x14ac:dyDescent="0.4">
      <c r="B11" s="1" t="s">
        <v>236</v>
      </c>
      <c r="C11" s="1" t="s">
        <v>230</v>
      </c>
      <c r="D11" s="21">
        <v>1900</v>
      </c>
      <c r="E11" s="22">
        <v>20</v>
      </c>
      <c r="F11" s="21"/>
    </row>
    <row r="12" spans="2:6" x14ac:dyDescent="0.4">
      <c r="B12" s="1"/>
      <c r="C12" s="1"/>
      <c r="D12" s="21"/>
      <c r="E12" s="22"/>
      <c r="F12" s="21"/>
    </row>
    <row r="13" spans="2:6" x14ac:dyDescent="0.4">
      <c r="B13" s="1"/>
      <c r="C13" s="1"/>
      <c r="D13" s="21"/>
      <c r="E13" s="22"/>
      <c r="F13" s="21"/>
    </row>
  </sheetData>
  <mergeCells count="1">
    <mergeCell ref="B1:F1"/>
  </mergeCells>
  <phoneticPr fontId="1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H6"/>
  <sheetViews>
    <sheetView workbookViewId="0">
      <selection activeCell="I10" sqref="I10"/>
    </sheetView>
  </sheetViews>
  <sheetFormatPr defaultRowHeight="17.399999999999999" x14ac:dyDescent="0.4"/>
  <cols>
    <col min="1" max="1" width="2.59765625" customWidth="1"/>
  </cols>
  <sheetData>
    <row r="1" spans="2:8" ht="21" x14ac:dyDescent="0.4">
      <c r="B1" s="25" t="s">
        <v>240</v>
      </c>
      <c r="C1" s="25"/>
      <c r="D1" s="25"/>
      <c r="E1" s="25"/>
      <c r="F1" s="25"/>
      <c r="G1" s="25"/>
      <c r="H1" s="25"/>
    </row>
    <row r="3" spans="2:8" x14ac:dyDescent="0.4">
      <c r="B3" s="3" t="s">
        <v>241</v>
      </c>
      <c r="C3" s="3" t="s">
        <v>242</v>
      </c>
      <c r="D3" s="3" t="s">
        <v>243</v>
      </c>
      <c r="E3" s="3" t="s">
        <v>244</v>
      </c>
      <c r="F3" s="3" t="s">
        <v>245</v>
      </c>
      <c r="G3" s="3" t="s">
        <v>246</v>
      </c>
      <c r="H3" s="3" t="s">
        <v>247</v>
      </c>
    </row>
    <row r="4" spans="2:8" x14ac:dyDescent="0.4">
      <c r="B4" s="3" t="s">
        <v>248</v>
      </c>
      <c r="C4" s="3">
        <v>87</v>
      </c>
      <c r="D4" s="3">
        <v>129</v>
      </c>
      <c r="E4" s="3">
        <v>137</v>
      </c>
      <c r="F4" s="3">
        <v>118</v>
      </c>
      <c r="G4" s="3">
        <v>45</v>
      </c>
      <c r="H4" s="3">
        <v>38</v>
      </c>
    </row>
    <row r="5" spans="2:8" x14ac:dyDescent="0.4">
      <c r="B5" s="3" t="s">
        <v>249</v>
      </c>
      <c r="C5" s="3">
        <v>89</v>
      </c>
      <c r="D5" s="3">
        <v>128</v>
      </c>
      <c r="E5" s="3">
        <v>145</v>
      </c>
      <c r="F5" s="3">
        <v>127</v>
      </c>
      <c r="G5" s="3">
        <v>38</v>
      </c>
      <c r="H5" s="3">
        <v>42</v>
      </c>
    </row>
    <row r="6" spans="2:8" x14ac:dyDescent="0.4">
      <c r="B6" s="3" t="s">
        <v>250</v>
      </c>
      <c r="C6" s="3">
        <v>75</v>
      </c>
      <c r="D6" s="3">
        <v>115</v>
      </c>
      <c r="E6" s="3">
        <v>132</v>
      </c>
      <c r="F6" s="3">
        <v>109</v>
      </c>
      <c r="G6" s="3">
        <v>43</v>
      </c>
      <c r="H6" s="3">
        <v>48</v>
      </c>
    </row>
  </sheetData>
  <mergeCells count="1">
    <mergeCell ref="B1:H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3</vt:i4>
      </vt:variant>
    </vt:vector>
  </HeadingPairs>
  <TitlesOfParts>
    <vt:vector size="12" baseType="lpstr">
      <vt:lpstr>기본작업-1</vt:lpstr>
      <vt:lpstr>기본작업-2</vt:lpstr>
      <vt:lpstr>기본작업-3</vt:lpstr>
      <vt:lpstr>계산작업</vt:lpstr>
      <vt:lpstr>분석작업-1</vt:lpstr>
      <vt:lpstr>시나리오 요약</vt:lpstr>
      <vt:lpstr>분석작업-2</vt:lpstr>
      <vt:lpstr>매크로작업</vt:lpstr>
      <vt:lpstr>차트작업</vt:lpstr>
      <vt:lpstr>상품코드</vt:lpstr>
      <vt:lpstr>총구매금액</vt:lpstr>
      <vt:lpstr>환율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ylose</cp:lastModifiedBy>
  <dcterms:created xsi:type="dcterms:W3CDTF">2021-03-08T05:03:26Z</dcterms:created>
  <dcterms:modified xsi:type="dcterms:W3CDTF">2023-07-25T12:45:22Z</dcterms:modified>
</cp:coreProperties>
</file>