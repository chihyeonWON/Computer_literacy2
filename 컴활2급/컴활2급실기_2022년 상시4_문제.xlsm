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pivotTables/pivotTable1.xml" ContentType="application/vnd.openxmlformats-officedocument.spreadsheetml.pivot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trlProps/ctrlProp1.xml" ContentType="application/vnd.ms-excel.controlproperties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ylose\Desktop\"/>
    </mc:Choice>
  </mc:AlternateContent>
  <xr:revisionPtr revIDLastSave="0" documentId="13_ncr:1_{EA4EFA84-0D04-413F-AFB9-C23C3D58BD63}" xr6:coauthVersionLast="47" xr6:coauthVersionMax="47" xr10:uidLastSave="{00000000-0000-0000-0000-000000000000}"/>
  <bookViews>
    <workbookView xWindow="-108" yWindow="-108" windowWidth="23256" windowHeight="13176" activeTab="3" xr2:uid="{00000000-000D-0000-FFFF-FFFF00000000}"/>
  </bookViews>
  <sheets>
    <sheet name="기본작업-1" sheetId="1" r:id="rId1"/>
    <sheet name="기본작업-2" sheetId="2" r:id="rId2"/>
    <sheet name="기본작업-3" sheetId="3" r:id="rId3"/>
    <sheet name="계산작업" sheetId="4" r:id="rId4"/>
    <sheet name="분석작업-1" sheetId="5" r:id="rId5"/>
    <sheet name="시나리오 요약" sheetId="9" r:id="rId6"/>
    <sheet name="분석작업-2" sheetId="6" r:id="rId7"/>
    <sheet name="매크로작업" sheetId="8" r:id="rId8"/>
    <sheet name="차트작업" sheetId="7" r:id="rId9"/>
  </sheets>
  <definedNames>
    <definedName name="_xlnm._FilterDatabase" localSheetId="2" hidden="1">'기본작업-3'!$A$3:$E$12</definedName>
    <definedName name="_xlnm.Criteria" localSheetId="2">'기본작업-3'!$A$14:$B$16</definedName>
    <definedName name="_xlnm.Extract" localSheetId="2">'기본작업-3'!$A$20:$C$20</definedName>
    <definedName name="수익률">'분석작업-2'!$H$17</definedName>
    <definedName name="순이익합계">'분석작업-2'!$H$15</definedName>
  </definedNames>
  <calcPr calcId="191029"/>
  <pivotCaches>
    <pivotCache cacheId="3" r:id="rId1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2" i="4" l="1"/>
  <c r="K17" i="4"/>
  <c r="K18" i="4"/>
  <c r="K19" i="4"/>
  <c r="K20" i="4"/>
  <c r="K21" i="4"/>
  <c r="K22" i="4"/>
  <c r="K16" i="4"/>
  <c r="E17" i="4"/>
  <c r="E18" i="4"/>
  <c r="E19" i="4"/>
  <c r="E20" i="4"/>
  <c r="E21" i="4"/>
  <c r="E22" i="4"/>
  <c r="E16" i="4"/>
  <c r="I12" i="4"/>
  <c r="J12" i="4"/>
  <c r="K12" i="4"/>
  <c r="H12" i="4"/>
  <c r="D12" i="4"/>
  <c r="E5" i="8"/>
  <c r="E6" i="8"/>
  <c r="E7" i="8"/>
  <c r="E8" i="8"/>
  <c r="E9" i="8"/>
  <c r="E10" i="8"/>
  <c r="E4" i="8"/>
  <c r="C8" i="7"/>
  <c r="D8" i="7"/>
  <c r="E8" i="7"/>
  <c r="F8" i="7"/>
  <c r="G5" i="7"/>
  <c r="G6" i="7"/>
  <c r="G7" i="7"/>
  <c r="G4" i="7"/>
  <c r="G8" i="7" s="1"/>
  <c r="B8" i="7"/>
  <c r="G6" i="6"/>
  <c r="H6" i="6" s="1"/>
  <c r="G7" i="6"/>
  <c r="H7" i="6" s="1"/>
  <c r="G8" i="6"/>
  <c r="H8" i="6" s="1"/>
  <c r="G11" i="6"/>
  <c r="H11" i="6" s="1"/>
  <c r="G13" i="6"/>
  <c r="H13" i="6" s="1"/>
  <c r="G14" i="6"/>
  <c r="H14" i="6" s="1"/>
  <c r="F5" i="6"/>
  <c r="G5" i="6" s="1"/>
  <c r="F7" i="6"/>
  <c r="F9" i="6"/>
  <c r="G9" i="6" s="1"/>
  <c r="H9" i="6" s="1"/>
  <c r="F12" i="6"/>
  <c r="F13" i="6"/>
  <c r="D5" i="6"/>
  <c r="D8" i="6"/>
  <c r="D10" i="6"/>
  <c r="G10" i="6" s="1"/>
  <c r="H10" i="6" s="1"/>
  <c r="D12" i="6"/>
  <c r="G12" i="6" s="1"/>
  <c r="H12" i="6" s="1"/>
  <c r="D14" i="6"/>
  <c r="D11" i="6"/>
  <c r="G15" i="6" l="1"/>
  <c r="H5" i="6"/>
  <c r="H15" i="6" s="1"/>
  <c r="F5" i="2"/>
  <c r="F6" i="2"/>
  <c r="F7" i="2"/>
  <c r="F8" i="2"/>
  <c r="F9" i="2"/>
  <c r="F10" i="2"/>
  <c r="F11" i="2"/>
  <c r="F4" i="2"/>
  <c r="G11" i="2" l="1"/>
  <c r="G5" i="2"/>
  <c r="G4" i="2"/>
  <c r="G10" i="2"/>
  <c r="G9" i="2"/>
  <c r="G8" i="2"/>
  <c r="G7" i="2"/>
  <c r="G6" i="2"/>
</calcChain>
</file>

<file path=xl/sharedStrings.xml><?xml version="1.0" encoding="utf-8"?>
<sst xmlns="http://schemas.openxmlformats.org/spreadsheetml/2006/main" count="337" uniqueCount="289">
  <si>
    <t>상공산업 인사발령</t>
    <phoneticPr fontId="1" type="noConversion"/>
  </si>
  <si>
    <t>분류</t>
    <phoneticPr fontId="1" type="noConversion"/>
  </si>
  <si>
    <t>과일</t>
    <phoneticPr fontId="1" type="noConversion"/>
  </si>
  <si>
    <t>채소</t>
    <phoneticPr fontId="1" type="noConversion"/>
  </si>
  <si>
    <t>정육</t>
    <phoneticPr fontId="1" type="noConversion"/>
  </si>
  <si>
    <t>수산물</t>
    <phoneticPr fontId="1" type="noConversion"/>
  </si>
  <si>
    <t>상품명</t>
    <phoneticPr fontId="1" type="noConversion"/>
  </si>
  <si>
    <t>새콤달콤사과</t>
    <phoneticPr fontId="1" type="noConversion"/>
  </si>
  <si>
    <t>고당도수박</t>
    <phoneticPr fontId="1" type="noConversion"/>
  </si>
  <si>
    <t>일품삽겹살</t>
    <phoneticPr fontId="1" type="noConversion"/>
  </si>
  <si>
    <t>안심한우</t>
    <phoneticPr fontId="1" type="noConversion"/>
  </si>
  <si>
    <t>황토고구마</t>
    <phoneticPr fontId="1" type="noConversion"/>
  </si>
  <si>
    <t>포슬포슬감자</t>
    <phoneticPr fontId="1" type="noConversion"/>
  </si>
  <si>
    <t>안동간고등어</t>
    <phoneticPr fontId="1" type="noConversion"/>
  </si>
  <si>
    <t>제주은갈치</t>
    <phoneticPr fontId="1" type="noConversion"/>
  </si>
  <si>
    <t>판매가</t>
    <phoneticPr fontId="1" type="noConversion"/>
  </si>
  <si>
    <t>판매량</t>
    <phoneticPr fontId="1" type="noConversion"/>
  </si>
  <si>
    <t>판매총액</t>
    <phoneticPr fontId="1" type="noConversion"/>
  </si>
  <si>
    <t>판매순위</t>
    <phoneticPr fontId="1" type="noConversion"/>
  </si>
  <si>
    <t>F-1</t>
    <phoneticPr fontId="1" type="noConversion"/>
  </si>
  <si>
    <t>F-2</t>
  </si>
  <si>
    <t>C-1</t>
    <phoneticPr fontId="1" type="noConversion"/>
  </si>
  <si>
    <t>C-2</t>
  </si>
  <si>
    <t>T-1</t>
    <phoneticPr fontId="1" type="noConversion"/>
  </si>
  <si>
    <t>T-2</t>
  </si>
  <si>
    <t>G-1</t>
    <phoneticPr fontId="1" type="noConversion"/>
  </si>
  <si>
    <t>G-2</t>
  </si>
  <si>
    <t>위치</t>
    <phoneticPr fontId="1" type="noConversion"/>
  </si>
  <si>
    <t>상공마트 판매 현황</t>
    <phoneticPr fontId="1" type="noConversion"/>
  </si>
  <si>
    <t>장애인복지시설</t>
    <phoneticPr fontId="1" type="noConversion"/>
  </si>
  <si>
    <t>여성복지시설</t>
    <phoneticPr fontId="1" type="noConversion"/>
  </si>
  <si>
    <t>지역</t>
    <phoneticPr fontId="1" type="noConversion"/>
  </si>
  <si>
    <t>서울</t>
    <phoneticPr fontId="1" type="noConversion"/>
  </si>
  <si>
    <t>경기</t>
    <phoneticPr fontId="1" type="noConversion"/>
  </si>
  <si>
    <t>부산</t>
    <phoneticPr fontId="1" type="noConversion"/>
  </si>
  <si>
    <t>광주</t>
    <phoneticPr fontId="1" type="noConversion"/>
  </si>
  <si>
    <t>대구</t>
    <phoneticPr fontId="1" type="noConversion"/>
  </si>
  <si>
    <t>대전</t>
    <phoneticPr fontId="1" type="noConversion"/>
  </si>
  <si>
    <t>제주</t>
    <phoneticPr fontId="1" type="noConversion"/>
  </si>
  <si>
    <t>강원</t>
    <phoneticPr fontId="1" type="noConversion"/>
  </si>
  <si>
    <t>인천</t>
    <phoneticPr fontId="1" type="noConversion"/>
  </si>
  <si>
    <t>노인복지시설</t>
    <phoneticPr fontId="1" type="noConversion"/>
  </si>
  <si>
    <t>아동복지시설</t>
    <phoneticPr fontId="1" type="noConversion"/>
  </si>
  <si>
    <t>지역별 복지시설 운영현황</t>
    <phoneticPr fontId="1" type="noConversion"/>
  </si>
  <si>
    <t>[표1]</t>
    <phoneticPr fontId="1" type="noConversion"/>
  </si>
  <si>
    <t>1학기 성적표</t>
    <phoneticPr fontId="1" type="noConversion"/>
  </si>
  <si>
    <t>성명</t>
    <phoneticPr fontId="1" type="noConversion"/>
  </si>
  <si>
    <t>성별</t>
    <phoneticPr fontId="1" type="noConversion"/>
  </si>
  <si>
    <t>점수</t>
    <phoneticPr fontId="1" type="noConversion"/>
  </si>
  <si>
    <t>비고</t>
    <phoneticPr fontId="1" type="noConversion"/>
  </si>
  <si>
    <t>번호</t>
    <phoneticPr fontId="1" type="noConversion"/>
  </si>
  <si>
    <t>특기생</t>
    <phoneticPr fontId="1" type="noConversion"/>
  </si>
  <si>
    <t>여</t>
    <phoneticPr fontId="1" type="noConversion"/>
  </si>
  <si>
    <t>여</t>
    <phoneticPr fontId="1" type="noConversion"/>
  </si>
  <si>
    <t>남</t>
    <phoneticPr fontId="1" type="noConversion"/>
  </si>
  <si>
    <t>남</t>
    <phoneticPr fontId="1" type="noConversion"/>
  </si>
  <si>
    <t>최정욱</t>
    <phoneticPr fontId="1" type="noConversion"/>
  </si>
  <si>
    <t>정영진</t>
    <phoneticPr fontId="1" type="noConversion"/>
  </si>
  <si>
    <t>김성현</t>
    <phoneticPr fontId="1" type="noConversion"/>
  </si>
  <si>
    <t>서동희</t>
    <phoneticPr fontId="1" type="noConversion"/>
  </si>
  <si>
    <t>박지연</t>
    <phoneticPr fontId="1" type="noConversion"/>
  </si>
  <si>
    <t>변효정</t>
    <phoneticPr fontId="1" type="noConversion"/>
  </si>
  <si>
    <t>남여최대평균점수</t>
    <phoneticPr fontId="1" type="noConversion"/>
  </si>
  <si>
    <t>[표2]</t>
    <phoneticPr fontId="1" type="noConversion"/>
  </si>
  <si>
    <t>도서 대여 현황</t>
    <phoneticPr fontId="1" type="noConversion"/>
  </si>
  <si>
    <t>회원ID</t>
    <phoneticPr fontId="1" type="noConversion"/>
  </si>
  <si>
    <t>회원구분</t>
    <phoneticPr fontId="1" type="noConversion"/>
  </si>
  <si>
    <t>회원ID</t>
    <phoneticPr fontId="1" type="noConversion"/>
  </si>
  <si>
    <t>성명</t>
    <phoneticPr fontId="1" type="noConversion"/>
  </si>
  <si>
    <t>분류</t>
    <phoneticPr fontId="1" type="noConversion"/>
  </si>
  <si>
    <t>K-001</t>
    <phoneticPr fontId="1" type="noConversion"/>
  </si>
  <si>
    <t>K-001</t>
    <phoneticPr fontId="1" type="noConversion"/>
  </si>
  <si>
    <t>K-002</t>
    <phoneticPr fontId="1" type="noConversion"/>
  </si>
  <si>
    <t>P-001</t>
    <phoneticPr fontId="1" type="noConversion"/>
  </si>
  <si>
    <t>P-002</t>
    <phoneticPr fontId="1" type="noConversion"/>
  </si>
  <si>
    <t>이수연</t>
    <phoneticPr fontId="1" type="noConversion"/>
  </si>
  <si>
    <t>6월2일</t>
    <phoneticPr fontId="1" type="noConversion"/>
  </si>
  <si>
    <t>6월7일</t>
    <phoneticPr fontId="1" type="noConversion"/>
  </si>
  <si>
    <t>6월10일</t>
    <phoneticPr fontId="1" type="noConversion"/>
  </si>
  <si>
    <t>김원중</t>
    <phoneticPr fontId="1" type="noConversion"/>
  </si>
  <si>
    <t>김원중</t>
    <phoneticPr fontId="1" type="noConversion"/>
  </si>
  <si>
    <t>김원중</t>
    <phoneticPr fontId="1" type="noConversion"/>
  </si>
  <si>
    <t>이예소</t>
    <phoneticPr fontId="1" type="noConversion"/>
  </si>
  <si>
    <t>이예소</t>
    <phoneticPr fontId="1" type="noConversion"/>
  </si>
  <si>
    <t>박현수</t>
    <phoneticPr fontId="1" type="noConversion"/>
  </si>
  <si>
    <t>배은서</t>
    <phoneticPr fontId="1" type="noConversion"/>
  </si>
  <si>
    <t>도서코드</t>
    <phoneticPr fontId="1" type="noConversion"/>
  </si>
  <si>
    <t>경영</t>
    <phoneticPr fontId="1" type="noConversion"/>
  </si>
  <si>
    <t>취미</t>
    <phoneticPr fontId="1" type="noConversion"/>
  </si>
  <si>
    <t>여행</t>
    <phoneticPr fontId="1" type="noConversion"/>
  </si>
  <si>
    <t>소설</t>
    <phoneticPr fontId="1" type="noConversion"/>
  </si>
  <si>
    <t>정치</t>
    <phoneticPr fontId="1" type="noConversion"/>
  </si>
  <si>
    <t>외국어</t>
    <phoneticPr fontId="1" type="noConversion"/>
  </si>
  <si>
    <t>사회</t>
    <phoneticPr fontId="1" type="noConversion"/>
  </si>
  <si>
    <t>E-4521</t>
    <phoneticPr fontId="1" type="noConversion"/>
  </si>
  <si>
    <t>S-1690</t>
    <phoneticPr fontId="1" type="noConversion"/>
  </si>
  <si>
    <t>K-5413</t>
    <phoneticPr fontId="1" type="noConversion"/>
  </si>
  <si>
    <t>G-8378</t>
    <phoneticPr fontId="1" type="noConversion"/>
  </si>
  <si>
    <t>H-5105</t>
    <phoneticPr fontId="1" type="noConversion"/>
  </si>
  <si>
    <t>F-6962</t>
    <phoneticPr fontId="1" type="noConversion"/>
  </si>
  <si>
    <t>D-2074</t>
    <phoneticPr fontId="1" type="noConversion"/>
  </si>
  <si>
    <t>대여일자</t>
    <phoneticPr fontId="1" type="noConversion"/>
  </si>
  <si>
    <t>&lt;조건&gt;</t>
    <phoneticPr fontId="1" type="noConversion"/>
  </si>
  <si>
    <t>[표3]</t>
    <phoneticPr fontId="1" type="noConversion"/>
  </si>
  <si>
    <t>회원 관리 현황</t>
    <phoneticPr fontId="1" type="noConversion"/>
  </si>
  <si>
    <t>회원코드</t>
    <phoneticPr fontId="1" type="noConversion"/>
  </si>
  <si>
    <t>지역</t>
    <phoneticPr fontId="1" type="noConversion"/>
  </si>
  <si>
    <t>성별</t>
    <phoneticPr fontId="1" type="noConversion"/>
  </si>
  <si>
    <t>관심분야</t>
    <phoneticPr fontId="1" type="noConversion"/>
  </si>
  <si>
    <t>남</t>
    <phoneticPr fontId="1" type="noConversion"/>
  </si>
  <si>
    <t>여</t>
    <phoneticPr fontId="1" type="noConversion"/>
  </si>
  <si>
    <t>여</t>
    <phoneticPr fontId="1" type="noConversion"/>
  </si>
  <si>
    <t>장석영</t>
    <phoneticPr fontId="1" type="noConversion"/>
  </si>
  <si>
    <t>윤성철</t>
    <phoneticPr fontId="1" type="noConversion"/>
  </si>
  <si>
    <t>서기운</t>
    <phoneticPr fontId="1" type="noConversion"/>
  </si>
  <si>
    <t>김나운</t>
    <phoneticPr fontId="1" type="noConversion"/>
  </si>
  <si>
    <t>노미경</t>
    <phoneticPr fontId="1" type="noConversion"/>
  </si>
  <si>
    <t>이영애</t>
    <phoneticPr fontId="1" type="noConversion"/>
  </si>
  <si>
    <t>김유진</t>
    <phoneticPr fontId="1" type="noConversion"/>
  </si>
  <si>
    <t>강서구</t>
    <phoneticPr fontId="1" type="noConversion"/>
  </si>
  <si>
    <t>송파구</t>
    <phoneticPr fontId="1" type="noConversion"/>
  </si>
  <si>
    <t>서초구</t>
    <phoneticPr fontId="1" type="noConversion"/>
  </si>
  <si>
    <t>관악구</t>
    <phoneticPr fontId="1" type="noConversion"/>
  </si>
  <si>
    <t>마포구</t>
    <phoneticPr fontId="1" type="noConversion"/>
  </si>
  <si>
    <t>종로구</t>
    <phoneticPr fontId="1" type="noConversion"/>
  </si>
  <si>
    <t>은평구</t>
    <phoneticPr fontId="1" type="noConversion"/>
  </si>
  <si>
    <t>DA-482</t>
    <phoneticPr fontId="1" type="noConversion"/>
  </si>
  <si>
    <t>DA-161</t>
    <phoneticPr fontId="1" type="noConversion"/>
  </si>
  <si>
    <t>DA-974</t>
    <phoneticPr fontId="1" type="noConversion"/>
  </si>
  <si>
    <t>DA-811</t>
    <phoneticPr fontId="1" type="noConversion"/>
  </si>
  <si>
    <t>DA-693</t>
    <phoneticPr fontId="1" type="noConversion"/>
  </si>
  <si>
    <t>DA-575</t>
    <phoneticPr fontId="1" type="noConversion"/>
  </si>
  <si>
    <t>DA-293</t>
    <phoneticPr fontId="1" type="noConversion"/>
  </si>
  <si>
    <t>[표4]</t>
    <phoneticPr fontId="1" type="noConversion"/>
  </si>
  <si>
    <t>자동차 주행 기록</t>
    <phoneticPr fontId="1" type="noConversion"/>
  </si>
  <si>
    <t>소속</t>
    <phoneticPr fontId="1" type="noConversion"/>
  </si>
  <si>
    <t>선수명</t>
    <phoneticPr fontId="1" type="noConversion"/>
  </si>
  <si>
    <t>출발시간</t>
    <phoneticPr fontId="1" type="noConversion"/>
  </si>
  <si>
    <t>도착시간</t>
    <phoneticPr fontId="1" type="noConversion"/>
  </si>
  <si>
    <t>주행기록</t>
    <phoneticPr fontId="1" type="noConversion"/>
  </si>
  <si>
    <t>성공자동차</t>
    <phoneticPr fontId="1" type="noConversion"/>
  </si>
  <si>
    <t>튼튼자동차</t>
    <phoneticPr fontId="1" type="noConversion"/>
  </si>
  <si>
    <t>유명자동차</t>
    <phoneticPr fontId="1" type="noConversion"/>
  </si>
  <si>
    <t>유한열</t>
    <phoneticPr fontId="1" type="noConversion"/>
  </si>
  <si>
    <t>강현준</t>
    <phoneticPr fontId="1" type="noConversion"/>
  </si>
  <si>
    <t>이규창</t>
    <phoneticPr fontId="1" type="noConversion"/>
  </si>
  <si>
    <t>김민수</t>
    <phoneticPr fontId="1" type="noConversion"/>
  </si>
  <si>
    <t>신선부</t>
    <phoneticPr fontId="1" type="noConversion"/>
  </si>
  <si>
    <t>조영수</t>
    <phoneticPr fontId="1" type="noConversion"/>
  </si>
  <si>
    <t>한용욱</t>
    <phoneticPr fontId="1" type="noConversion"/>
  </si>
  <si>
    <t>턴스피드</t>
    <phoneticPr fontId="1" type="noConversion"/>
  </si>
  <si>
    <t>카마스터</t>
    <phoneticPr fontId="1" type="noConversion"/>
  </si>
  <si>
    <t>붕붕모터스</t>
    <phoneticPr fontId="1" type="noConversion"/>
  </si>
  <si>
    <t>오토마스터</t>
    <phoneticPr fontId="1" type="noConversion"/>
  </si>
  <si>
    <t>선수 기록</t>
    <phoneticPr fontId="1" type="noConversion"/>
  </si>
  <si>
    <t>어시스트</t>
    <phoneticPr fontId="1" type="noConversion"/>
  </si>
  <si>
    <t>조성민</t>
    <phoneticPr fontId="1" type="noConversion"/>
  </si>
  <si>
    <t>장희철</t>
    <phoneticPr fontId="1" type="noConversion"/>
  </si>
  <si>
    <t>안양GK</t>
    <phoneticPr fontId="1" type="noConversion"/>
  </si>
  <si>
    <t>울산MB</t>
    <phoneticPr fontId="1" type="noConversion"/>
  </si>
  <si>
    <t>대구KO</t>
    <phoneticPr fontId="1" type="noConversion"/>
  </si>
  <si>
    <t>우수선수 수</t>
    <phoneticPr fontId="1" type="noConversion"/>
  </si>
  <si>
    <t>[표5]</t>
    <phoneticPr fontId="1" type="noConversion"/>
  </si>
  <si>
    <t>과장</t>
    <phoneticPr fontId="1" type="noConversion"/>
  </si>
  <si>
    <t>대리</t>
    <phoneticPr fontId="1" type="noConversion"/>
  </si>
  <si>
    <t>사원</t>
    <phoneticPr fontId="1" type="noConversion"/>
  </si>
  <si>
    <t>부장</t>
    <phoneticPr fontId="1" type="noConversion"/>
  </si>
  <si>
    <t>영업2팀</t>
  </si>
  <si>
    <t>영업3팀</t>
  </si>
  <si>
    <t>영업4팀</t>
  </si>
  <si>
    <t>반품</t>
    <phoneticPr fontId="1" type="noConversion"/>
  </si>
  <si>
    <t>윤동해</t>
  </si>
  <si>
    <t>강조은</t>
  </si>
  <si>
    <t>권혜리</t>
  </si>
  <si>
    <t>곽슬빈</t>
  </si>
  <si>
    <t>윤희수</t>
  </si>
  <si>
    <t>곽하율</t>
  </si>
  <si>
    <t>황은영</t>
  </si>
  <si>
    <t>김선호</t>
  </si>
  <si>
    <t>사원명</t>
    <phoneticPr fontId="1" type="noConversion"/>
  </si>
  <si>
    <t>부서명</t>
    <phoneticPr fontId="1" type="noConversion"/>
  </si>
  <si>
    <t>전반기</t>
    <phoneticPr fontId="1" type="noConversion"/>
  </si>
  <si>
    <t>하반기</t>
    <phoneticPr fontId="1" type="noConversion"/>
  </si>
  <si>
    <t>영업1팀</t>
    <phoneticPr fontId="1" type="noConversion"/>
  </si>
  <si>
    <t>영업1팀</t>
    <phoneticPr fontId="1" type="noConversion"/>
  </si>
  <si>
    <t>영업1팀</t>
    <phoneticPr fontId="1" type="noConversion"/>
  </si>
  <si>
    <t>안대인</t>
    <phoneticPr fontId="1" type="noConversion"/>
  </si>
  <si>
    <t>심원진</t>
    <phoneticPr fontId="1" type="noConversion"/>
  </si>
  <si>
    <t>전성수</t>
    <phoneticPr fontId="1" type="noConversion"/>
  </si>
  <si>
    <t>권민준</t>
    <phoneticPr fontId="1" type="noConversion"/>
  </si>
  <si>
    <t>직위</t>
    <phoneticPr fontId="1" type="noConversion"/>
  </si>
  <si>
    <t>대리</t>
    <phoneticPr fontId="1" type="noConversion"/>
  </si>
  <si>
    <t>대리</t>
    <phoneticPr fontId="1" type="noConversion"/>
  </si>
  <si>
    <t>사원</t>
    <phoneticPr fontId="1" type="noConversion"/>
  </si>
  <si>
    <t>과장</t>
    <phoneticPr fontId="1" type="noConversion"/>
  </si>
  <si>
    <t>부장</t>
    <phoneticPr fontId="1" type="noConversion"/>
  </si>
  <si>
    <t>사원별 판매 실적</t>
    <phoneticPr fontId="1" type="noConversion"/>
  </si>
  <si>
    <t>판매가</t>
    <phoneticPr fontId="1" type="noConversion"/>
  </si>
  <si>
    <t>판매수량</t>
    <phoneticPr fontId="1" type="noConversion"/>
  </si>
  <si>
    <t>1분기</t>
    <phoneticPr fontId="1" type="noConversion"/>
  </si>
  <si>
    <t>2분기</t>
  </si>
  <si>
    <t>3분기</t>
  </si>
  <si>
    <t>4분기</t>
  </si>
  <si>
    <t>총판매액</t>
    <phoneticPr fontId="1" type="noConversion"/>
  </si>
  <si>
    <t>순이익</t>
    <phoneticPr fontId="1" type="noConversion"/>
  </si>
  <si>
    <t>사무용품 판매 현황</t>
    <phoneticPr fontId="1" type="noConversion"/>
  </si>
  <si>
    <t>용품명</t>
    <phoneticPr fontId="1" type="noConversion"/>
  </si>
  <si>
    <t>수정테이프</t>
    <phoneticPr fontId="1" type="noConversion"/>
  </si>
  <si>
    <t>포스트잇</t>
    <phoneticPr fontId="1" type="noConversion"/>
  </si>
  <si>
    <t>네임펜</t>
    <phoneticPr fontId="1" type="noConversion"/>
  </si>
  <si>
    <t>볼펜</t>
    <phoneticPr fontId="1" type="noConversion"/>
  </si>
  <si>
    <t>커터칼</t>
    <phoneticPr fontId="1" type="noConversion"/>
  </si>
  <si>
    <t>가위</t>
    <phoneticPr fontId="1" type="noConversion"/>
  </si>
  <si>
    <t>투명테이프</t>
    <phoneticPr fontId="1" type="noConversion"/>
  </si>
  <si>
    <t>보드마카</t>
    <phoneticPr fontId="1" type="noConversion"/>
  </si>
  <si>
    <t>스테이플러</t>
    <phoneticPr fontId="1" type="noConversion"/>
  </si>
  <si>
    <t>딱풀</t>
    <phoneticPr fontId="1" type="noConversion"/>
  </si>
  <si>
    <t>수익률</t>
    <phoneticPr fontId="1" type="noConversion"/>
  </si>
  <si>
    <t>합계</t>
    <phoneticPr fontId="1" type="noConversion"/>
  </si>
  <si>
    <t>피자</t>
    <phoneticPr fontId="1" type="noConversion"/>
  </si>
  <si>
    <t>계획수량</t>
    <phoneticPr fontId="1" type="noConversion"/>
  </si>
  <si>
    <t>달성률</t>
    <phoneticPr fontId="1" type="noConversion"/>
  </si>
  <si>
    <t>피자 판매 현황</t>
    <phoneticPr fontId="1" type="noConversion"/>
  </si>
  <si>
    <t>쉬림프피자</t>
    <phoneticPr fontId="1" type="noConversion"/>
  </si>
  <si>
    <t>스테이크피자</t>
    <phoneticPr fontId="1" type="noConversion"/>
  </si>
  <si>
    <t>불고기피자</t>
    <phoneticPr fontId="1" type="noConversion"/>
  </si>
  <si>
    <t>포테이토피자</t>
    <phoneticPr fontId="1" type="noConversion"/>
  </si>
  <si>
    <t>페페로니피자</t>
    <phoneticPr fontId="1" type="noConversion"/>
  </si>
  <si>
    <t>고구마피자</t>
    <phoneticPr fontId="1" type="noConversion"/>
  </si>
  <si>
    <t>콰트로피자</t>
    <phoneticPr fontId="1" type="noConversion"/>
  </si>
  <si>
    <t>판매수량</t>
    <phoneticPr fontId="1" type="noConversion"/>
  </si>
  <si>
    <t>2017년</t>
  </si>
  <si>
    <t>2018년</t>
  </si>
  <si>
    <t>2019년</t>
  </si>
  <si>
    <t>2020년</t>
  </si>
  <si>
    <t>2021년</t>
  </si>
  <si>
    <t>구분</t>
    <phoneticPr fontId="1" type="noConversion"/>
  </si>
  <si>
    <t>봄</t>
    <phoneticPr fontId="1" type="noConversion"/>
  </si>
  <si>
    <t>겨울</t>
    <phoneticPr fontId="1" type="noConversion"/>
  </si>
  <si>
    <t>평균</t>
    <phoneticPr fontId="1" type="noConversion"/>
  </si>
  <si>
    <t>여름</t>
    <phoneticPr fontId="1" type="noConversion"/>
  </si>
  <si>
    <t>가을</t>
    <phoneticPr fontId="1" type="noConversion"/>
  </si>
  <si>
    <t>계절평균</t>
    <phoneticPr fontId="1" type="noConversion"/>
  </si>
  <si>
    <t>연도별 강수량</t>
    <phoneticPr fontId="1" type="noConversion"/>
  </si>
  <si>
    <t>농구팀</t>
    <phoneticPr fontId="1" type="noConversion"/>
  </si>
  <si>
    <t>선수명</t>
    <phoneticPr fontId="1" type="noConversion"/>
  </si>
  <si>
    <t>리바운드</t>
    <phoneticPr fontId="1" type="noConversion"/>
  </si>
  <si>
    <t>서울NK</t>
    <phoneticPr fontId="1" type="noConversion"/>
  </si>
  <si>
    <t>장하원</t>
    <phoneticPr fontId="1" type="noConversion"/>
  </si>
  <si>
    <t>수원KG</t>
    <phoneticPr fontId="1" type="noConversion"/>
  </si>
  <si>
    <t>현주식</t>
    <phoneticPr fontId="1" type="noConversion"/>
  </si>
  <si>
    <t>강해진</t>
    <phoneticPr fontId="1" type="noConversion"/>
  </si>
  <si>
    <t>고양OR</t>
    <phoneticPr fontId="1" type="noConversion"/>
  </si>
  <si>
    <t>김태용</t>
    <phoneticPr fontId="1" type="noConversion"/>
  </si>
  <si>
    <t>창원SC</t>
    <phoneticPr fontId="1" type="noConversion"/>
  </si>
  <si>
    <t>이장훈</t>
    <phoneticPr fontId="1" type="noConversion"/>
  </si>
  <si>
    <t>사원코드</t>
    <phoneticPr fontId="1" type="noConversion"/>
  </si>
  <si>
    <t>사원명</t>
  </si>
  <si>
    <t>발령부서</t>
    <phoneticPr fontId="1" type="noConversion"/>
  </si>
  <si>
    <t>근속기간</t>
    <phoneticPr fontId="1" type="noConversion"/>
  </si>
  <si>
    <t>기본급</t>
    <phoneticPr fontId="1" type="noConversion"/>
  </si>
  <si>
    <t>Pro-154</t>
    <phoneticPr fontId="1" type="noConversion"/>
  </si>
  <si>
    <t>김용성</t>
    <phoneticPr fontId="1" type="noConversion"/>
  </si>
  <si>
    <t>생산관리부</t>
    <phoneticPr fontId="1" type="noConversion"/>
  </si>
  <si>
    <t>Mar-489</t>
    <phoneticPr fontId="1" type="noConversion"/>
  </si>
  <si>
    <t>임은정</t>
    <phoneticPr fontId="1" type="noConversion"/>
  </si>
  <si>
    <t>Sal-276</t>
    <phoneticPr fontId="1" type="noConversion"/>
  </si>
  <si>
    <t>Pro-395</t>
    <phoneticPr fontId="1" type="noConversion"/>
  </si>
  <si>
    <t>&gt;=200</t>
    <phoneticPr fontId="1" type="noConversion"/>
  </si>
  <si>
    <t>&gt;=300</t>
    <phoneticPr fontId="1" type="noConversion"/>
  </si>
  <si>
    <t>(모두)</t>
  </si>
  <si>
    <t>행 레이블</t>
  </si>
  <si>
    <t>영업1팀</t>
  </si>
  <si>
    <t>총합계</t>
  </si>
  <si>
    <t>합계 : 반품</t>
  </si>
  <si>
    <t>평균 : 전반기</t>
  </si>
  <si>
    <t>평균 : 하반기</t>
  </si>
  <si>
    <t>수익률</t>
  </si>
  <si>
    <t>순이익합계</t>
  </si>
  <si>
    <t>수익률증가</t>
  </si>
  <si>
    <t>만든 사람 ylose 날짜 2023-07-25</t>
  </si>
  <si>
    <t>수익률감소</t>
  </si>
  <si>
    <t>시나리오 요약</t>
  </si>
  <si>
    <t>변경 셀:</t>
  </si>
  <si>
    <t>현재 값:</t>
  </si>
  <si>
    <t>결과 셀:</t>
  </si>
  <si>
    <t>참고: 현재 값 열은 시나리오 요약 보고서가 작성될 때의</t>
  </si>
  <si>
    <t>변경 셀 값을 나타냅니다. 각 시나리오의 변경 셀들은</t>
  </si>
  <si>
    <t>회색으로 표시됩니다.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</si>
</sst>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-* #,##0_-;\-* #,##0_-;_-* &quot;-&quot;_-;_-@_-"/>
    <numFmt numFmtId="176" formatCode="h:mm:ss;@"/>
    <numFmt numFmtId="177" formatCode="0_ "/>
    <numFmt numFmtId="178" formatCode="0.00_ "/>
  </numFmts>
  <fonts count="1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i/>
      <u val="double"/>
      <sz val="14"/>
      <color theme="1"/>
      <name val="맑은 고딕"/>
      <family val="3"/>
      <charset val="129"/>
      <scheme val="major"/>
    </font>
    <font>
      <sz val="11"/>
      <color indexed="9"/>
      <name val="맑은 고딕"/>
      <family val="2"/>
      <charset val="129"/>
      <scheme val="minor"/>
    </font>
    <font>
      <sz val="11"/>
      <color indexed="9"/>
      <name val="맑은 고딕"/>
      <family val="3"/>
      <charset val="129"/>
      <scheme val="minor"/>
    </font>
    <font>
      <sz val="11"/>
      <color indexed="8"/>
      <name val="맑은 고딕"/>
      <family val="2"/>
      <charset val="129"/>
      <scheme val="minor"/>
    </font>
    <font>
      <sz val="11"/>
      <color indexed="18"/>
      <name val="맑은 고딕"/>
      <family val="2"/>
      <charset val="129"/>
      <scheme val="minor"/>
    </font>
    <font>
      <sz val="11"/>
      <color indexed="18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8" tint="0.39997558519241921"/>
        <bgColor indexed="65"/>
      </patternFill>
    </fill>
    <fill>
      <patternFill patternType="solid">
        <fgColor indexed="20"/>
        <bgColor indexed="24"/>
      </patternFill>
    </fill>
    <fill>
      <patternFill patternType="solid">
        <fgColor indexed="22"/>
        <bgColor indexed="24"/>
      </patternFill>
    </fill>
    <fill>
      <patternFill patternType="solid">
        <fgColor indexed="22"/>
        <bgColor indexed="7"/>
      </patternFill>
    </fill>
    <fill>
      <patternFill patternType="solid">
        <fgColor rgb="FFFFFF0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</cellStyleXfs>
  <cellXfs count="55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41" fontId="0" fillId="0" borderId="0" xfId="1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5" fillId="0" borderId="0" xfId="0" applyFont="1">
      <alignment vertical="center"/>
    </xf>
    <xf numFmtId="0" fontId="4" fillId="0" borderId="0" xfId="0" applyFont="1">
      <alignment vertical="center"/>
    </xf>
    <xf numFmtId="0" fontId="0" fillId="2" borderId="1" xfId="0" applyFill="1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41" fontId="0" fillId="0" borderId="1" xfId="1" applyFont="1" applyBorder="1">
      <alignment vertical="center"/>
    </xf>
    <xf numFmtId="9" fontId="0" fillId="0" borderId="1" xfId="2" applyFont="1" applyBorder="1" applyAlignment="1">
      <alignment horizontal="center" vertical="center"/>
    </xf>
    <xf numFmtId="41" fontId="0" fillId="0" borderId="1" xfId="0" applyNumberFormat="1" applyBorder="1">
      <alignment vertical="center"/>
    </xf>
    <xf numFmtId="177" fontId="0" fillId="0" borderId="1" xfId="0" applyNumberForma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6" fillId="0" borderId="0" xfId="0" applyFont="1" applyAlignment="1">
      <alignment horizontal="centerContinuous" vertical="center"/>
    </xf>
    <xf numFmtId="3" fontId="0" fillId="0" borderId="1" xfId="0" applyNumberFormat="1" applyBorder="1">
      <alignment vertical="center"/>
    </xf>
    <xf numFmtId="0" fontId="2" fillId="3" borderId="6" xfId="3" applyBorder="1" applyAlignment="1">
      <alignment horizontal="center" vertical="center"/>
    </xf>
    <xf numFmtId="0" fontId="2" fillId="3" borderId="7" xfId="3" applyBorder="1" applyAlignment="1">
      <alignment horizontal="center" vertical="center"/>
    </xf>
    <xf numFmtId="0" fontId="2" fillId="3" borderId="8" xfId="3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3" fontId="0" fillId="0" borderId="12" xfId="0" applyNumberFormat="1" applyBorder="1">
      <alignment vertical="center"/>
    </xf>
    <xf numFmtId="0" fontId="0" fillId="0" borderId="13" xfId="0" applyBorder="1" applyAlignment="1">
      <alignment horizontal="center" vertical="center"/>
    </xf>
    <xf numFmtId="3" fontId="0" fillId="0" borderId="1" xfId="1" applyNumberFormat="1" applyFont="1" applyBorder="1">
      <alignment vertical="center"/>
    </xf>
    <xf numFmtId="3" fontId="0" fillId="0" borderId="12" xfId="1" applyNumberFormat="1" applyFont="1" applyBorder="1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0" fontId="0" fillId="0" borderId="0" xfId="0" applyNumberFormat="1">
      <alignment vertical="center"/>
    </xf>
    <xf numFmtId="178" fontId="0" fillId="0" borderId="0" xfId="0" applyNumberFormat="1">
      <alignment vertical="center"/>
    </xf>
    <xf numFmtId="0" fontId="0" fillId="0" borderId="0" xfId="0" applyFill="1" applyBorder="1" applyAlignment="1">
      <alignment vertical="center"/>
    </xf>
    <xf numFmtId="9" fontId="0" fillId="0" borderId="0" xfId="0" applyNumberFormat="1" applyFill="1" applyBorder="1" applyAlignment="1">
      <alignment vertical="center"/>
    </xf>
    <xf numFmtId="41" fontId="0" fillId="0" borderId="15" xfId="0" applyNumberFormat="1" applyFill="1" applyBorder="1" applyAlignment="1">
      <alignment vertical="center"/>
    </xf>
    <xf numFmtId="0" fontId="8" fillId="4" borderId="16" xfId="0" applyFont="1" applyFill="1" applyBorder="1" applyAlignment="1">
      <alignment horizontal="left" vertical="center"/>
    </xf>
    <xf numFmtId="0" fontId="7" fillId="4" borderId="14" xfId="0" applyFont="1" applyFill="1" applyBorder="1" applyAlignment="1">
      <alignment horizontal="left" vertical="center"/>
    </xf>
    <xf numFmtId="0" fontId="8" fillId="4" borderId="14" xfId="0" applyFont="1" applyFill="1" applyBorder="1" applyAlignment="1">
      <alignment horizontal="left" vertical="center"/>
    </xf>
    <xf numFmtId="0" fontId="0" fillId="0" borderId="5" xfId="0" applyFill="1" applyBorder="1" applyAlignment="1">
      <alignment vertical="center"/>
    </xf>
    <xf numFmtId="0" fontId="9" fillId="5" borderId="0" xfId="0" applyFont="1" applyFill="1" applyBorder="1" applyAlignment="1">
      <alignment horizontal="left" vertical="center"/>
    </xf>
    <xf numFmtId="0" fontId="10" fillId="5" borderId="5" xfId="0" applyFont="1" applyFill="1" applyBorder="1" applyAlignment="1">
      <alignment horizontal="left" vertical="center"/>
    </xf>
    <xf numFmtId="0" fontId="11" fillId="5" borderId="5" xfId="0" applyFont="1" applyFill="1" applyBorder="1" applyAlignment="1">
      <alignment horizontal="left" vertical="center"/>
    </xf>
    <xf numFmtId="0" fontId="9" fillId="5" borderId="15" xfId="0" applyFont="1" applyFill="1" applyBorder="1" applyAlignment="1">
      <alignment horizontal="left" vertical="center"/>
    </xf>
    <xf numFmtId="0" fontId="7" fillId="4" borderId="14" xfId="0" applyFont="1" applyFill="1" applyBorder="1" applyAlignment="1">
      <alignment horizontal="right" vertical="center"/>
    </xf>
    <xf numFmtId="0" fontId="7" fillId="4" borderId="16" xfId="0" applyFont="1" applyFill="1" applyBorder="1" applyAlignment="1">
      <alignment horizontal="right" vertical="center"/>
    </xf>
    <xf numFmtId="9" fontId="0" fillId="6" borderId="0" xfId="0" applyNumberFormat="1" applyFill="1" applyBorder="1" applyAlignment="1">
      <alignment vertical="center"/>
    </xf>
    <xf numFmtId="0" fontId="12" fillId="0" borderId="0" xfId="0" applyFont="1" applyFill="1" applyBorder="1" applyAlignment="1">
      <alignment vertical="top" wrapText="1"/>
    </xf>
    <xf numFmtId="0" fontId="0" fillId="7" borderId="1" xfId="0" applyFill="1" applyBorder="1" applyAlignment="1">
      <alignment horizontal="center" vertical="center"/>
    </xf>
  </cellXfs>
  <cellStyles count="4">
    <cellStyle name="60% - 강조색5" xfId="3" builtinId="48"/>
    <cellStyle name="백분율" xfId="2" builtinId="5"/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차트작업!$A$1</c:f>
          <c:strCache>
            <c:ptCount val="1"/>
            <c:pt idx="0">
              <c:v>연도별 강수량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차트작업!$A$4</c:f>
              <c:strCache>
                <c:ptCount val="1"/>
                <c:pt idx="0">
                  <c:v>봄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차트작업!$B$3:$F$3</c:f>
              <c:strCache>
                <c:ptCount val="5"/>
                <c:pt idx="0">
                  <c:v>2017년</c:v>
                </c:pt>
                <c:pt idx="1">
                  <c:v>2018년</c:v>
                </c:pt>
                <c:pt idx="2">
                  <c:v>2019년</c:v>
                </c:pt>
                <c:pt idx="3">
                  <c:v>2020년</c:v>
                </c:pt>
                <c:pt idx="4">
                  <c:v>2021년</c:v>
                </c:pt>
              </c:strCache>
            </c:strRef>
          </c:cat>
          <c:val>
            <c:numRef>
              <c:f>차트작업!$B$4:$F$4</c:f>
              <c:numCache>
                <c:formatCode>0_ </c:formatCode>
                <c:ptCount val="5"/>
                <c:pt idx="0">
                  <c:v>215</c:v>
                </c:pt>
                <c:pt idx="1">
                  <c:v>223</c:v>
                </c:pt>
                <c:pt idx="2">
                  <c:v>118</c:v>
                </c:pt>
                <c:pt idx="3">
                  <c:v>368</c:v>
                </c:pt>
                <c:pt idx="4">
                  <c:v>173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BB-40F2-BDC1-CB2EF487402C}"/>
            </c:ext>
          </c:extLst>
        </c:ser>
        <c:ser>
          <c:idx val="1"/>
          <c:order val="1"/>
          <c:tx>
            <c:strRef>
              <c:f>차트작업!$A$5</c:f>
              <c:strCache>
                <c:ptCount val="1"/>
                <c:pt idx="0">
                  <c:v>여름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차트작업!$B$3:$F$3</c:f>
              <c:strCache>
                <c:ptCount val="5"/>
                <c:pt idx="0">
                  <c:v>2017년</c:v>
                </c:pt>
                <c:pt idx="1">
                  <c:v>2018년</c:v>
                </c:pt>
                <c:pt idx="2">
                  <c:v>2019년</c:v>
                </c:pt>
                <c:pt idx="3">
                  <c:v>2020년</c:v>
                </c:pt>
                <c:pt idx="4">
                  <c:v>2021년</c:v>
                </c:pt>
              </c:strCache>
            </c:strRef>
          </c:cat>
          <c:val>
            <c:numRef>
              <c:f>차트작업!$B$5:$F$5</c:f>
              <c:numCache>
                <c:formatCode>0_ </c:formatCode>
                <c:ptCount val="5"/>
                <c:pt idx="0">
                  <c:v>599</c:v>
                </c:pt>
                <c:pt idx="1">
                  <c:v>387</c:v>
                </c:pt>
                <c:pt idx="2">
                  <c:v>609</c:v>
                </c:pt>
                <c:pt idx="3">
                  <c:v>586</c:v>
                </c:pt>
                <c:pt idx="4">
                  <c:v>493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7BB-40F2-BDC1-CB2EF487402C}"/>
            </c:ext>
          </c:extLst>
        </c:ser>
        <c:ser>
          <c:idx val="2"/>
          <c:order val="2"/>
          <c:tx>
            <c:strRef>
              <c:f>차트작업!$A$6</c:f>
              <c:strCache>
                <c:ptCount val="1"/>
                <c:pt idx="0">
                  <c:v>가을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차트작업!$B$3:$F$3</c:f>
              <c:strCache>
                <c:ptCount val="5"/>
                <c:pt idx="0">
                  <c:v>2017년</c:v>
                </c:pt>
                <c:pt idx="1">
                  <c:v>2018년</c:v>
                </c:pt>
                <c:pt idx="2">
                  <c:v>2019년</c:v>
                </c:pt>
                <c:pt idx="3">
                  <c:v>2020년</c:v>
                </c:pt>
                <c:pt idx="4">
                  <c:v>2021년</c:v>
                </c:pt>
              </c:strCache>
            </c:strRef>
          </c:cat>
          <c:val>
            <c:numRef>
              <c:f>차트작업!$B$6:$F$6</c:f>
              <c:numCache>
                <c:formatCode>0_ </c:formatCode>
                <c:ptCount val="5"/>
                <c:pt idx="0">
                  <c:v>293</c:v>
                </c:pt>
                <c:pt idx="1">
                  <c:v>247</c:v>
                </c:pt>
                <c:pt idx="2">
                  <c:v>172</c:v>
                </c:pt>
                <c:pt idx="3">
                  <c:v>351</c:v>
                </c:pt>
                <c:pt idx="4">
                  <c:v>448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7BB-40F2-BDC1-CB2EF487402C}"/>
            </c:ext>
          </c:extLst>
        </c:ser>
        <c:ser>
          <c:idx val="3"/>
          <c:order val="3"/>
          <c:tx>
            <c:strRef>
              <c:f>차트작업!$A$7</c:f>
              <c:strCache>
                <c:ptCount val="1"/>
                <c:pt idx="0">
                  <c:v>겨울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차트작업!$B$3:$F$3</c:f>
              <c:strCache>
                <c:ptCount val="5"/>
                <c:pt idx="0">
                  <c:v>2017년</c:v>
                </c:pt>
                <c:pt idx="1">
                  <c:v>2018년</c:v>
                </c:pt>
                <c:pt idx="2">
                  <c:v>2019년</c:v>
                </c:pt>
                <c:pt idx="3">
                  <c:v>2020년</c:v>
                </c:pt>
                <c:pt idx="4">
                  <c:v>2021년</c:v>
                </c:pt>
              </c:strCache>
            </c:strRef>
          </c:cat>
          <c:val>
            <c:numRef>
              <c:f>차트작업!$B$7:$F$7</c:f>
              <c:numCache>
                <c:formatCode>0_ </c:formatCode>
                <c:ptCount val="5"/>
                <c:pt idx="0">
                  <c:v>121</c:v>
                </c:pt>
                <c:pt idx="1">
                  <c:v>104</c:v>
                </c:pt>
                <c:pt idx="2">
                  <c:v>119</c:v>
                </c:pt>
                <c:pt idx="3">
                  <c:v>132</c:v>
                </c:pt>
                <c:pt idx="4">
                  <c:v>168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7BB-40F2-BDC1-CB2EF48740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959481952"/>
        <c:axId val="1959485696"/>
      </c:barChart>
      <c:catAx>
        <c:axId val="19594819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959485696"/>
        <c:crosses val="autoZero"/>
        <c:auto val="1"/>
        <c:lblAlgn val="ctr"/>
        <c:lblOffset val="100"/>
        <c:noMultiLvlLbl val="0"/>
      </c:catAx>
      <c:valAx>
        <c:axId val="195948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9594819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>
          <a:lumMod val="50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219075</xdr:colOff>
      <xdr:row>0</xdr:row>
      <xdr:rowOff>85725</xdr:rowOff>
    </xdr:from>
    <xdr:to>
      <xdr:col>15</xdr:col>
      <xdr:colOff>668655</xdr:colOff>
      <xdr:row>13</xdr:row>
      <xdr:rowOff>24730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248275" y="85725"/>
          <a:ext cx="5943600" cy="266315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152400</xdr:colOff>
      <xdr:row>0</xdr:row>
      <xdr:rowOff>47625</xdr:rowOff>
    </xdr:from>
    <xdr:to>
      <xdr:col>20</xdr:col>
      <xdr:colOff>304800</xdr:colOff>
      <xdr:row>12</xdr:row>
      <xdr:rowOff>106832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0" y="47625"/>
          <a:ext cx="8382000" cy="273763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171450</xdr:colOff>
      <xdr:row>0</xdr:row>
      <xdr:rowOff>133350</xdr:rowOff>
    </xdr:from>
    <xdr:to>
      <xdr:col>18</xdr:col>
      <xdr:colOff>237088</xdr:colOff>
      <xdr:row>7</xdr:row>
      <xdr:rowOff>199827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34125" y="133350"/>
          <a:ext cx="8295238" cy="158095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171450</xdr:colOff>
      <xdr:row>0</xdr:row>
      <xdr:rowOff>66675</xdr:rowOff>
    </xdr:from>
    <xdr:to>
      <xdr:col>24</xdr:col>
      <xdr:colOff>322802</xdr:colOff>
      <xdr:row>27</xdr:row>
      <xdr:rowOff>18636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pSpPr/>
      </xdr:nvGrpSpPr>
      <xdr:grpSpPr>
        <a:xfrm>
          <a:off x="8340090" y="66675"/>
          <a:ext cx="8198072" cy="5918421"/>
          <a:chOff x="8505825" y="66675"/>
          <a:chExt cx="8380952" cy="5609811"/>
        </a:xfrm>
      </xdr:grpSpPr>
      <xdr:pic>
        <xdr:nvPicPr>
          <xdr:cNvPr id="2" name="그림 1">
            <a:extLst>
              <a:ext uri="{FF2B5EF4-FFF2-40B4-BE49-F238E27FC236}">
                <a16:creationId xmlns:a16="http://schemas.microsoft.com/office/drawing/2014/main" id="{00000000-0008-0000-0300-00000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8524875" y="66675"/>
            <a:ext cx="8304762" cy="2371429"/>
          </a:xfrm>
          <a:prstGeom prst="rect">
            <a:avLst/>
          </a:prstGeom>
        </xdr:spPr>
      </xdr:pic>
      <xdr:pic>
        <xdr:nvPicPr>
          <xdr:cNvPr id="3" name="그림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8505825" y="2362200"/>
            <a:ext cx="8380952" cy="3314286"/>
          </a:xfrm>
          <a:prstGeom prst="rect">
            <a:avLst/>
          </a:prstGeom>
        </xdr:spPr>
      </xdr:pic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95250</xdr:colOff>
      <xdr:row>0</xdr:row>
      <xdr:rowOff>76200</xdr:rowOff>
    </xdr:from>
    <xdr:to>
      <xdr:col>19</xdr:col>
      <xdr:colOff>151364</xdr:colOff>
      <xdr:row>9</xdr:row>
      <xdr:rowOff>9292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95850" y="76200"/>
          <a:ext cx="8285714" cy="1866667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152400</xdr:colOff>
      <xdr:row>0</xdr:row>
      <xdr:rowOff>142875</xdr:rowOff>
    </xdr:from>
    <xdr:to>
      <xdr:col>21</xdr:col>
      <xdr:colOff>160895</xdr:colOff>
      <xdr:row>10</xdr:row>
      <xdr:rowOff>190226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05625" y="142875"/>
          <a:ext cx="8238095" cy="2190476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457200</xdr:colOff>
      <xdr:row>0</xdr:row>
      <xdr:rowOff>161925</xdr:rowOff>
    </xdr:from>
    <xdr:to>
      <xdr:col>19</xdr:col>
      <xdr:colOff>494267</xdr:colOff>
      <xdr:row>15</xdr:row>
      <xdr:rowOff>123431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62625" y="161925"/>
          <a:ext cx="8266667" cy="3152381"/>
        </a:xfrm>
        <a:prstGeom prst="rect">
          <a:avLst/>
        </a:prstGeom>
      </xdr:spPr>
    </xdr:pic>
    <xdr:clientData/>
  </xdr:twoCellAnchor>
  <xdr:twoCellAnchor>
    <xdr:from>
      <xdr:col>6</xdr:col>
      <xdr:colOff>0</xdr:colOff>
      <xdr:row>2</xdr:row>
      <xdr:rowOff>0</xdr:rowOff>
    </xdr:from>
    <xdr:to>
      <xdr:col>7</xdr:col>
      <xdr:colOff>0</xdr:colOff>
      <xdr:row>4</xdr:row>
      <xdr:rowOff>0</xdr:rowOff>
    </xdr:to>
    <xdr:sp macro="[0]!달성률" textlink="">
      <xdr:nvSpPr>
        <xdr:cNvPr id="3" name="사각형: 빗면 2">
          <a:extLst>
            <a:ext uri="{FF2B5EF4-FFF2-40B4-BE49-F238E27FC236}">
              <a16:creationId xmlns:a16="http://schemas.microsoft.com/office/drawing/2014/main" id="{966E7D48-9845-BA95-4481-0ED7997CF22F}"/>
            </a:ext>
          </a:extLst>
        </xdr:cNvPr>
        <xdr:cNvSpPr/>
      </xdr:nvSpPr>
      <xdr:spPr>
        <a:xfrm>
          <a:off x="4434840" y="487680"/>
          <a:ext cx="807720" cy="441960"/>
        </a:xfrm>
        <a:prstGeom prst="bevel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달성률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</xdr:row>
          <xdr:rowOff>0</xdr:rowOff>
        </xdr:from>
        <xdr:to>
          <xdr:col>7</xdr:col>
          <xdr:colOff>0</xdr:colOff>
          <xdr:row>7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0</xdr:rowOff>
    </xdr:from>
    <xdr:to>
      <xdr:col>7</xdr:col>
      <xdr:colOff>0</xdr:colOff>
      <xdr:row>24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8</xdr:col>
      <xdr:colOff>171450</xdr:colOff>
      <xdr:row>0</xdr:row>
      <xdr:rowOff>66675</xdr:rowOff>
    </xdr:from>
    <xdr:to>
      <xdr:col>18</xdr:col>
      <xdr:colOff>532498</xdr:colOff>
      <xdr:row>21</xdr:row>
      <xdr:rowOff>189929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657850" y="66675"/>
          <a:ext cx="7219048" cy="4571429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ylose" refreshedDate="45132.863274537034" createdVersion="8" refreshedVersion="8" minRefreshableVersion="3" recordCount="12" xr:uid="{DFC88666-FE74-44B1-A1DF-C3821AC9A5B5}">
  <cacheSource type="worksheet">
    <worksheetSource ref="A3:F15" sheet="분석작업-1"/>
  </cacheSource>
  <cacheFields count="6">
    <cacheField name="사원명" numFmtId="0">
      <sharedItems count="12">
        <s v="윤동해"/>
        <s v="강조은"/>
        <s v="권혜리"/>
        <s v="안대인"/>
        <s v="심원진"/>
        <s v="곽슬빈"/>
        <s v="윤희수"/>
        <s v="전성수"/>
        <s v="곽하율"/>
        <s v="황은영"/>
        <s v="권민준"/>
        <s v="김선호"/>
      </sharedItems>
    </cacheField>
    <cacheField name="부서명" numFmtId="0">
      <sharedItems count="4">
        <s v="영업1팀"/>
        <s v="영업2팀"/>
        <s v="영업3팀"/>
        <s v="영업4팀"/>
      </sharedItems>
    </cacheField>
    <cacheField name="직위" numFmtId="0">
      <sharedItems/>
    </cacheField>
    <cacheField name="전반기" numFmtId="41">
      <sharedItems containsSemiMixedTypes="0" containsString="0" containsNumber="1" containsInteger="1" minValue="371" maxValue="626"/>
    </cacheField>
    <cacheField name="하반기" numFmtId="41">
      <sharedItems containsSemiMixedTypes="0" containsString="0" containsNumber="1" containsInteger="1" minValue="324" maxValue="727"/>
    </cacheField>
    <cacheField name="반품" numFmtId="41">
      <sharedItems containsSemiMixedTypes="0" containsString="0" containsNumber="1" containsInteger="1" minValue="7" maxValue="2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">
  <r>
    <x v="0"/>
    <x v="0"/>
    <s v="과장"/>
    <n v="429"/>
    <n v="527"/>
    <n v="16"/>
  </r>
  <r>
    <x v="1"/>
    <x v="0"/>
    <s v="대리"/>
    <n v="624"/>
    <n v="602"/>
    <n v="7"/>
  </r>
  <r>
    <x v="2"/>
    <x v="0"/>
    <s v="대리"/>
    <n v="551"/>
    <n v="598"/>
    <n v="29"/>
  </r>
  <r>
    <x v="3"/>
    <x v="1"/>
    <s v="부장"/>
    <n v="532"/>
    <n v="469"/>
    <n v="9"/>
  </r>
  <r>
    <x v="4"/>
    <x v="1"/>
    <s v="과장"/>
    <n v="438"/>
    <n v="464"/>
    <n v="15"/>
  </r>
  <r>
    <x v="5"/>
    <x v="1"/>
    <s v="사원"/>
    <n v="399"/>
    <n v="491"/>
    <n v="11"/>
  </r>
  <r>
    <x v="6"/>
    <x v="2"/>
    <s v="과장"/>
    <n v="626"/>
    <n v="651"/>
    <n v="24"/>
  </r>
  <r>
    <x v="7"/>
    <x v="2"/>
    <s v="대리"/>
    <n v="468"/>
    <n v="575"/>
    <n v="12"/>
  </r>
  <r>
    <x v="8"/>
    <x v="2"/>
    <s v="사원"/>
    <n v="530"/>
    <n v="467"/>
    <n v="23"/>
  </r>
  <r>
    <x v="9"/>
    <x v="3"/>
    <s v="부장"/>
    <n v="468"/>
    <n v="421"/>
    <n v="8"/>
  </r>
  <r>
    <x v="10"/>
    <x v="3"/>
    <s v="대리"/>
    <n v="591"/>
    <n v="727"/>
    <n v="21"/>
  </r>
  <r>
    <x v="11"/>
    <x v="3"/>
    <s v="사원"/>
    <n v="371"/>
    <n v="324"/>
    <n v="1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F7B6695-C5CC-4FFB-8B4A-458B3BAADDAF}" name="피벗 테이블1" cacheId="3" applyNumberFormats="0" applyBorderFormats="0" applyFontFormats="0" applyPatternFormats="0" applyAlignmentFormats="0" applyWidthHeightFormats="1" dataCaption="값" updatedVersion="8" minRefreshableVersion="3" useAutoFormatting="1" itemPrintTitles="1" createdVersion="8" indent="0" outline="1" outlineData="1" multipleFieldFilters="0">
  <location ref="A20:D25" firstHeaderRow="0" firstDataRow="1" firstDataCol="1" rowPageCount="1" colPageCount="1"/>
  <pivotFields count="6">
    <pivotField axis="axisPage" showAll="0">
      <items count="13">
        <item x="1"/>
        <item x="5"/>
        <item x="8"/>
        <item x="10"/>
        <item x="2"/>
        <item x="11"/>
        <item x="4"/>
        <item x="3"/>
        <item x="0"/>
        <item x="6"/>
        <item x="7"/>
        <item x="9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showAll="0"/>
    <pivotField dataField="1" numFmtId="41" showAll="0"/>
    <pivotField dataField="1" numFmtId="41" showAll="0"/>
    <pivotField dataField="1" numFmtId="41" showAll="0"/>
  </pivotFields>
  <rowFields count="1">
    <field x="1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0" hier="-1"/>
  </pageFields>
  <dataFields count="3">
    <dataField name="합계 : 반품" fld="5" baseField="0" baseItem="0"/>
    <dataField name="평균 : 전반기" fld="3" subtotal="average" baseField="1" baseItem="0" numFmtId="178"/>
    <dataField name="평균 : 하반기" fld="4" subtotal="average" baseField="1" baseItem="0" numFmtId="178"/>
  </dataFields>
  <pivotTableStyleInfo name="PivotStyleMedium20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9"/>
  <sheetViews>
    <sheetView workbookViewId="0">
      <selection activeCell="A8" sqref="A8"/>
    </sheetView>
  </sheetViews>
  <sheetFormatPr defaultRowHeight="17.399999999999999" x14ac:dyDescent="0.4"/>
  <cols>
    <col min="4" max="4" width="10.3984375" bestFit="1" customWidth="1"/>
    <col min="6" max="6" width="10.59765625" bestFit="1" customWidth="1"/>
  </cols>
  <sheetData>
    <row r="1" spans="1:6" x14ac:dyDescent="0.4">
      <c r="A1" t="s">
        <v>0</v>
      </c>
    </row>
    <row r="3" spans="1:6" x14ac:dyDescent="0.4">
      <c r="A3" s="1" t="s">
        <v>256</v>
      </c>
      <c r="B3" s="1" t="s">
        <v>179</v>
      </c>
      <c r="C3" s="1" t="s">
        <v>190</v>
      </c>
      <c r="D3" s="1" t="s">
        <v>258</v>
      </c>
      <c r="E3" s="1" t="s">
        <v>259</v>
      </c>
      <c r="F3" s="1" t="s">
        <v>260</v>
      </c>
    </row>
    <row r="4" spans="1:6" x14ac:dyDescent="0.4">
      <c r="A4" s="1" t="s">
        <v>261</v>
      </c>
      <c r="B4" s="1" t="s">
        <v>262</v>
      </c>
      <c r="C4" s="1" t="s">
        <v>166</v>
      </c>
      <c r="D4" s="1" t="s">
        <v>263</v>
      </c>
      <c r="E4" s="1">
        <v>16</v>
      </c>
      <c r="F4" s="2">
        <v>4850000</v>
      </c>
    </row>
    <row r="5" spans="1:6" x14ac:dyDescent="0.4">
      <c r="A5" s="1" t="s">
        <v>264</v>
      </c>
      <c r="B5" s="1" t="s">
        <v>265</v>
      </c>
      <c r="C5" s="1"/>
      <c r="D5" s="1"/>
      <c r="E5" s="1"/>
      <c r="F5" s="2"/>
    </row>
    <row r="6" spans="1:6" x14ac:dyDescent="0.4">
      <c r="A6" s="1" t="s">
        <v>266</v>
      </c>
      <c r="B6" s="1"/>
      <c r="C6" s="1"/>
      <c r="D6" s="1"/>
      <c r="E6" s="1"/>
      <c r="F6" s="2"/>
    </row>
    <row r="7" spans="1:6" x14ac:dyDescent="0.4">
      <c r="A7" s="1" t="s">
        <v>267</v>
      </c>
      <c r="B7" s="1"/>
      <c r="C7" s="1"/>
      <c r="D7" s="1"/>
      <c r="E7" s="1"/>
      <c r="F7" s="2"/>
    </row>
    <row r="8" spans="1:6" x14ac:dyDescent="0.4">
      <c r="A8" s="1"/>
      <c r="B8" s="1"/>
      <c r="C8" s="1"/>
      <c r="D8" s="1"/>
      <c r="E8" s="1"/>
      <c r="F8" s="2"/>
    </row>
    <row r="9" spans="1:6" x14ac:dyDescent="0.4">
      <c r="A9" s="1"/>
      <c r="B9" s="1"/>
      <c r="C9" s="1"/>
      <c r="D9" s="1"/>
      <c r="E9" s="1"/>
      <c r="F9" s="2"/>
    </row>
  </sheetData>
  <phoneticPr fontId="1" type="noConversion"/>
  <pageMargins left="0.7" right="0.7" top="0.75" bottom="0.75" header="0.3" footer="0.3"/>
  <pageSetup paperSize="9"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11"/>
  <sheetViews>
    <sheetView workbookViewId="0">
      <selection activeCell="J14" sqref="J14"/>
    </sheetView>
  </sheetViews>
  <sheetFormatPr defaultRowHeight="17.399999999999999" x14ac:dyDescent="0.4"/>
  <cols>
    <col min="2" max="2" width="12.3984375" bestFit="1" customWidth="1"/>
    <col min="6" max="6" width="11.59765625" bestFit="1" customWidth="1"/>
  </cols>
  <sheetData>
    <row r="1" spans="1:7" ht="30" customHeight="1" x14ac:dyDescent="0.4">
      <c r="A1" s="22" t="s">
        <v>28</v>
      </c>
      <c r="B1" s="22"/>
      <c r="C1" s="22"/>
      <c r="D1" s="22"/>
      <c r="E1" s="22"/>
      <c r="F1" s="22"/>
      <c r="G1" s="22"/>
    </row>
    <row r="2" spans="1:7" ht="18" thickBot="1" x14ac:dyDescent="0.45"/>
    <row r="3" spans="1:7" x14ac:dyDescent="0.4">
      <c r="A3" s="24" t="s">
        <v>1</v>
      </c>
      <c r="B3" s="25" t="s">
        <v>6</v>
      </c>
      <c r="C3" s="25" t="s">
        <v>27</v>
      </c>
      <c r="D3" s="25" t="s">
        <v>15</v>
      </c>
      <c r="E3" s="25" t="s">
        <v>16</v>
      </c>
      <c r="F3" s="25" t="s">
        <v>17</v>
      </c>
      <c r="G3" s="26" t="s">
        <v>18</v>
      </c>
    </row>
    <row r="4" spans="1:7" x14ac:dyDescent="0.4">
      <c r="A4" s="27" t="s">
        <v>2</v>
      </c>
      <c r="B4" s="3" t="s">
        <v>7</v>
      </c>
      <c r="C4" s="3" t="s">
        <v>19</v>
      </c>
      <c r="D4" s="23">
        <v>9500</v>
      </c>
      <c r="E4" s="23">
        <v>4355</v>
      </c>
      <c r="F4" s="33">
        <f>D4*E4</f>
        <v>41372500</v>
      </c>
      <c r="G4" s="28">
        <f>_xlfn.RANK.EQ(F4,$F$4:$F$11)</f>
        <v>2</v>
      </c>
    </row>
    <row r="5" spans="1:7" x14ac:dyDescent="0.4">
      <c r="A5" s="27"/>
      <c r="B5" s="3" t="s">
        <v>8</v>
      </c>
      <c r="C5" s="3" t="s">
        <v>20</v>
      </c>
      <c r="D5" s="23">
        <v>18000</v>
      </c>
      <c r="E5" s="23">
        <v>1841</v>
      </c>
      <c r="F5" s="33">
        <f t="shared" ref="F5:F11" si="0">D5*E5</f>
        <v>33138000</v>
      </c>
      <c r="G5" s="28">
        <f t="shared" ref="G5:G11" si="1">_xlfn.RANK.EQ(F5,$F$4:$F$11)</f>
        <v>6</v>
      </c>
    </row>
    <row r="6" spans="1:7" x14ac:dyDescent="0.4">
      <c r="A6" s="27" t="s">
        <v>4</v>
      </c>
      <c r="B6" s="3" t="s">
        <v>9</v>
      </c>
      <c r="C6" s="3" t="s">
        <v>21</v>
      </c>
      <c r="D6" s="23">
        <v>21000</v>
      </c>
      <c r="E6" s="23">
        <v>3097</v>
      </c>
      <c r="F6" s="33">
        <f t="shared" si="0"/>
        <v>65037000</v>
      </c>
      <c r="G6" s="28">
        <f t="shared" si="1"/>
        <v>1</v>
      </c>
    </row>
    <row r="7" spans="1:7" x14ac:dyDescent="0.4">
      <c r="A7" s="27"/>
      <c r="B7" s="3" t="s">
        <v>10</v>
      </c>
      <c r="C7" s="3" t="s">
        <v>22</v>
      </c>
      <c r="D7" s="23">
        <v>36000</v>
      </c>
      <c r="E7" s="23">
        <v>912</v>
      </c>
      <c r="F7" s="33">
        <f t="shared" si="0"/>
        <v>32832000</v>
      </c>
      <c r="G7" s="28">
        <f t="shared" si="1"/>
        <v>7</v>
      </c>
    </row>
    <row r="8" spans="1:7" x14ac:dyDescent="0.4">
      <c r="A8" s="27" t="s">
        <v>3</v>
      </c>
      <c r="B8" s="3" t="s">
        <v>11</v>
      </c>
      <c r="C8" s="3" t="s">
        <v>23</v>
      </c>
      <c r="D8" s="23">
        <v>12000</v>
      </c>
      <c r="E8" s="23">
        <v>3104</v>
      </c>
      <c r="F8" s="33">
        <f t="shared" si="0"/>
        <v>37248000</v>
      </c>
      <c r="G8" s="28">
        <f t="shared" si="1"/>
        <v>5</v>
      </c>
    </row>
    <row r="9" spans="1:7" x14ac:dyDescent="0.4">
      <c r="A9" s="27"/>
      <c r="B9" s="3" t="s">
        <v>12</v>
      </c>
      <c r="C9" s="3" t="s">
        <v>24</v>
      </c>
      <c r="D9" s="23">
        <v>4500</v>
      </c>
      <c r="E9" s="23">
        <v>8713</v>
      </c>
      <c r="F9" s="33">
        <f t="shared" si="0"/>
        <v>39208500</v>
      </c>
      <c r="G9" s="28">
        <f t="shared" si="1"/>
        <v>3</v>
      </c>
    </row>
    <row r="10" spans="1:7" x14ac:dyDescent="0.4">
      <c r="A10" s="27" t="s">
        <v>5</v>
      </c>
      <c r="B10" s="3" t="s">
        <v>13</v>
      </c>
      <c r="C10" s="3" t="s">
        <v>25</v>
      </c>
      <c r="D10" s="23">
        <v>8000</v>
      </c>
      <c r="E10" s="23">
        <v>4670</v>
      </c>
      <c r="F10" s="33">
        <f t="shared" si="0"/>
        <v>37360000</v>
      </c>
      <c r="G10" s="28">
        <f t="shared" si="1"/>
        <v>4</v>
      </c>
    </row>
    <row r="11" spans="1:7" ht="18" thickBot="1" x14ac:dyDescent="0.45">
      <c r="A11" s="29"/>
      <c r="B11" s="30" t="s">
        <v>14</v>
      </c>
      <c r="C11" s="30" t="s">
        <v>26</v>
      </c>
      <c r="D11" s="31">
        <v>24500</v>
      </c>
      <c r="E11" s="31">
        <v>1298</v>
      </c>
      <c r="F11" s="34">
        <f t="shared" si="0"/>
        <v>31801000</v>
      </c>
      <c r="G11" s="32">
        <f t="shared" si="1"/>
        <v>8</v>
      </c>
    </row>
  </sheetData>
  <mergeCells count="4">
    <mergeCell ref="A4:A5"/>
    <mergeCell ref="A6:A7"/>
    <mergeCell ref="A8:A9"/>
    <mergeCell ref="A10:A11"/>
  </mergeCells>
  <phoneticPr fontId="1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23"/>
  <sheetViews>
    <sheetView workbookViewId="0">
      <selection activeCell="D17" sqref="D17"/>
    </sheetView>
  </sheetViews>
  <sheetFormatPr defaultRowHeight="17.399999999999999" x14ac:dyDescent="0.4"/>
  <cols>
    <col min="1" max="5" width="14.3984375" customWidth="1"/>
  </cols>
  <sheetData>
    <row r="1" spans="1:5" ht="21" x14ac:dyDescent="0.4">
      <c r="A1" s="13" t="s">
        <v>43</v>
      </c>
      <c r="B1" s="13"/>
      <c r="C1" s="13"/>
      <c r="D1" s="13"/>
      <c r="E1" s="13"/>
    </row>
    <row r="3" spans="1:5" x14ac:dyDescent="0.4">
      <c r="A3" s="3" t="s">
        <v>31</v>
      </c>
      <c r="B3" s="3" t="s">
        <v>42</v>
      </c>
      <c r="C3" s="3" t="s">
        <v>41</v>
      </c>
      <c r="D3" s="3" t="s">
        <v>29</v>
      </c>
      <c r="E3" s="3" t="s">
        <v>30</v>
      </c>
    </row>
    <row r="4" spans="1:5" x14ac:dyDescent="0.4">
      <c r="A4" s="3" t="s">
        <v>32</v>
      </c>
      <c r="B4" s="3">
        <v>300</v>
      </c>
      <c r="C4" s="3">
        <v>430</v>
      </c>
      <c r="D4" s="3">
        <v>320</v>
      </c>
      <c r="E4" s="3">
        <v>90</v>
      </c>
    </row>
    <row r="5" spans="1:5" x14ac:dyDescent="0.4">
      <c r="A5" s="3" t="s">
        <v>33</v>
      </c>
      <c r="B5" s="3">
        <v>180</v>
      </c>
      <c r="C5" s="3">
        <v>280</v>
      </c>
      <c r="D5" s="3">
        <v>250</v>
      </c>
      <c r="E5" s="3">
        <v>60</v>
      </c>
    </row>
    <row r="6" spans="1:5" x14ac:dyDescent="0.4">
      <c r="A6" s="3" t="s">
        <v>40</v>
      </c>
      <c r="B6" s="3">
        <v>160</v>
      </c>
      <c r="C6" s="3">
        <v>250</v>
      </c>
      <c r="D6" s="3">
        <v>200</v>
      </c>
      <c r="E6" s="3">
        <v>70</v>
      </c>
    </row>
    <row r="7" spans="1:5" x14ac:dyDescent="0.4">
      <c r="A7" s="3" t="s">
        <v>34</v>
      </c>
      <c r="B7" s="3">
        <v>220</v>
      </c>
      <c r="C7" s="3">
        <v>250</v>
      </c>
      <c r="D7" s="3">
        <v>230</v>
      </c>
      <c r="E7" s="3">
        <v>50</v>
      </c>
    </row>
    <row r="8" spans="1:5" x14ac:dyDescent="0.4">
      <c r="A8" s="3" t="s">
        <v>35</v>
      </c>
      <c r="B8" s="3">
        <v>170</v>
      </c>
      <c r="C8" s="3">
        <v>300</v>
      </c>
      <c r="D8" s="3">
        <v>220</v>
      </c>
      <c r="E8" s="3">
        <v>80</v>
      </c>
    </row>
    <row r="9" spans="1:5" x14ac:dyDescent="0.4">
      <c r="A9" s="3" t="s">
        <v>36</v>
      </c>
      <c r="B9" s="3">
        <v>160</v>
      </c>
      <c r="C9" s="3">
        <v>210</v>
      </c>
      <c r="D9" s="3">
        <v>150</v>
      </c>
      <c r="E9" s="3">
        <v>100</v>
      </c>
    </row>
    <row r="10" spans="1:5" x14ac:dyDescent="0.4">
      <c r="A10" s="3" t="s">
        <v>37</v>
      </c>
      <c r="B10" s="3">
        <v>150</v>
      </c>
      <c r="C10" s="3">
        <v>200</v>
      </c>
      <c r="D10" s="3">
        <v>210</v>
      </c>
      <c r="E10" s="3">
        <v>40</v>
      </c>
    </row>
    <row r="11" spans="1:5" x14ac:dyDescent="0.4">
      <c r="A11" s="3" t="s">
        <v>38</v>
      </c>
      <c r="B11" s="3">
        <v>120</v>
      </c>
      <c r="C11" s="3">
        <v>150</v>
      </c>
      <c r="D11" s="3">
        <v>130</v>
      </c>
      <c r="E11" s="3">
        <v>30</v>
      </c>
    </row>
    <row r="12" spans="1:5" x14ac:dyDescent="0.4">
      <c r="A12" s="3" t="s">
        <v>39</v>
      </c>
      <c r="B12" s="3">
        <v>160</v>
      </c>
      <c r="C12" s="3">
        <v>250</v>
      </c>
      <c r="D12" s="3">
        <v>200</v>
      </c>
      <c r="E12" s="3">
        <v>50</v>
      </c>
    </row>
    <row r="14" spans="1:5" x14ac:dyDescent="0.4">
      <c r="A14" s="3" t="s">
        <v>42</v>
      </c>
      <c r="B14" s="3" t="s">
        <v>41</v>
      </c>
    </row>
    <row r="15" spans="1:5" x14ac:dyDescent="0.4">
      <c r="A15" s="1" t="s">
        <v>268</v>
      </c>
      <c r="B15" s="1"/>
      <c r="C15" s="1"/>
    </row>
    <row r="16" spans="1:5" x14ac:dyDescent="0.4">
      <c r="A16" s="1"/>
      <c r="B16" s="1" t="s">
        <v>269</v>
      </c>
      <c r="C16" s="1"/>
    </row>
    <row r="17" spans="1:3" x14ac:dyDescent="0.4">
      <c r="A17" s="1"/>
      <c r="B17" s="1"/>
      <c r="C17" s="1"/>
    </row>
    <row r="20" spans="1:3" x14ac:dyDescent="0.4">
      <c r="A20" s="3" t="s">
        <v>31</v>
      </c>
      <c r="B20" s="3" t="s">
        <v>41</v>
      </c>
      <c r="C20" s="3" t="s">
        <v>42</v>
      </c>
    </row>
    <row r="21" spans="1:3" x14ac:dyDescent="0.4">
      <c r="A21" s="3" t="s">
        <v>32</v>
      </c>
      <c r="B21" s="3">
        <v>430</v>
      </c>
      <c r="C21" s="3">
        <v>300</v>
      </c>
    </row>
    <row r="22" spans="1:3" x14ac:dyDescent="0.4">
      <c r="A22" s="3" t="s">
        <v>34</v>
      </c>
      <c r="B22" s="3">
        <v>250</v>
      </c>
      <c r="C22" s="3">
        <v>220</v>
      </c>
    </row>
    <row r="23" spans="1:3" x14ac:dyDescent="0.4">
      <c r="A23" s="3" t="s">
        <v>35</v>
      </c>
      <c r="B23" s="3">
        <v>300</v>
      </c>
      <c r="C23" s="3">
        <v>170</v>
      </c>
    </row>
  </sheetData>
  <mergeCells count="1">
    <mergeCell ref="A1:E1"/>
  </mergeCells>
  <phoneticPr fontId="1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K32"/>
  <sheetViews>
    <sheetView tabSelected="1" topLeftCell="A9" workbookViewId="0">
      <selection activeCell="E32" sqref="E32:F32"/>
    </sheetView>
  </sheetViews>
  <sheetFormatPr defaultRowHeight="17.399999999999999" x14ac:dyDescent="0.4"/>
  <cols>
    <col min="7" max="7" width="10.3984375" bestFit="1" customWidth="1"/>
  </cols>
  <sheetData>
    <row r="1" spans="1:11" x14ac:dyDescent="0.4">
      <c r="A1" s="4" t="s">
        <v>44</v>
      </c>
      <c r="B1" s="5" t="s">
        <v>45</v>
      </c>
      <c r="G1" s="4" t="s">
        <v>63</v>
      </c>
      <c r="H1" s="5" t="s">
        <v>64</v>
      </c>
    </row>
    <row r="2" spans="1:11" x14ac:dyDescent="0.4">
      <c r="A2" s="3" t="s">
        <v>50</v>
      </c>
      <c r="B2" s="3" t="s">
        <v>46</v>
      </c>
      <c r="C2" s="3" t="s">
        <v>47</v>
      </c>
      <c r="D2" s="3" t="s">
        <v>48</v>
      </c>
      <c r="E2" s="3" t="s">
        <v>49</v>
      </c>
      <c r="G2" s="3" t="s">
        <v>101</v>
      </c>
      <c r="H2" s="3" t="s">
        <v>67</v>
      </c>
      <c r="I2" s="3" t="s">
        <v>68</v>
      </c>
      <c r="J2" s="3" t="s">
        <v>69</v>
      </c>
      <c r="K2" s="3" t="s">
        <v>86</v>
      </c>
    </row>
    <row r="3" spans="1:11" x14ac:dyDescent="0.4">
      <c r="A3" s="3">
        <v>1</v>
      </c>
      <c r="B3" s="3" t="s">
        <v>61</v>
      </c>
      <c r="C3" s="3" t="s">
        <v>52</v>
      </c>
      <c r="D3" s="3">
        <v>78.8</v>
      </c>
      <c r="E3" s="3"/>
      <c r="G3" s="3" t="s">
        <v>76</v>
      </c>
      <c r="H3" s="3" t="s">
        <v>70</v>
      </c>
      <c r="I3" s="3" t="s">
        <v>79</v>
      </c>
      <c r="J3" s="3" t="s">
        <v>87</v>
      </c>
      <c r="K3" s="3" t="s">
        <v>94</v>
      </c>
    </row>
    <row r="4" spans="1:11" x14ac:dyDescent="0.4">
      <c r="A4" s="3">
        <v>2</v>
      </c>
      <c r="B4" s="3" t="s">
        <v>57</v>
      </c>
      <c r="C4" s="3" t="s">
        <v>54</v>
      </c>
      <c r="D4" s="3">
        <v>86.7</v>
      </c>
      <c r="E4" s="3" t="s">
        <v>51</v>
      </c>
      <c r="G4" s="3" t="s">
        <v>76</v>
      </c>
      <c r="H4" s="3" t="s">
        <v>73</v>
      </c>
      <c r="I4" s="3" t="s">
        <v>84</v>
      </c>
      <c r="J4" s="3" t="s">
        <v>88</v>
      </c>
      <c r="K4" s="3" t="s">
        <v>95</v>
      </c>
    </row>
    <row r="5" spans="1:11" x14ac:dyDescent="0.4">
      <c r="A5" s="3">
        <v>3</v>
      </c>
      <c r="B5" s="3" t="s">
        <v>58</v>
      </c>
      <c r="C5" s="3" t="s">
        <v>54</v>
      </c>
      <c r="D5" s="3">
        <v>91.5</v>
      </c>
      <c r="E5" s="3"/>
      <c r="G5" s="3" t="s">
        <v>77</v>
      </c>
      <c r="H5" s="3" t="s">
        <v>72</v>
      </c>
      <c r="I5" s="3" t="s">
        <v>85</v>
      </c>
      <c r="J5" s="3" t="s">
        <v>89</v>
      </c>
      <c r="K5" s="3" t="s">
        <v>96</v>
      </c>
    </row>
    <row r="6" spans="1:11" x14ac:dyDescent="0.4">
      <c r="A6" s="3">
        <v>4</v>
      </c>
      <c r="B6" s="3" t="s">
        <v>59</v>
      </c>
      <c r="C6" s="3" t="s">
        <v>53</v>
      </c>
      <c r="D6" s="3">
        <v>82.1</v>
      </c>
      <c r="E6" s="3" t="s">
        <v>51</v>
      </c>
      <c r="G6" s="3" t="s">
        <v>77</v>
      </c>
      <c r="H6" s="3" t="s">
        <v>74</v>
      </c>
      <c r="I6" s="3" t="s">
        <v>82</v>
      </c>
      <c r="J6" s="3" t="s">
        <v>90</v>
      </c>
      <c r="K6" s="3" t="s">
        <v>97</v>
      </c>
    </row>
    <row r="7" spans="1:11" x14ac:dyDescent="0.4">
      <c r="A7" s="3">
        <v>5</v>
      </c>
      <c r="B7" s="3" t="s">
        <v>60</v>
      </c>
      <c r="C7" s="3" t="s">
        <v>53</v>
      </c>
      <c r="D7" s="3">
        <v>92.2</v>
      </c>
      <c r="E7" s="3"/>
      <c r="G7" s="3" t="s">
        <v>77</v>
      </c>
      <c r="H7" s="3" t="s">
        <v>70</v>
      </c>
      <c r="I7" s="3" t="s">
        <v>80</v>
      </c>
      <c r="J7" s="3" t="s">
        <v>91</v>
      </c>
      <c r="K7" s="3" t="s">
        <v>98</v>
      </c>
    </row>
    <row r="8" spans="1:11" x14ac:dyDescent="0.4">
      <c r="A8" s="3">
        <v>6</v>
      </c>
      <c r="B8" s="3" t="s">
        <v>56</v>
      </c>
      <c r="C8" s="3" t="s">
        <v>55</v>
      </c>
      <c r="D8" s="3">
        <v>79.400000000000006</v>
      </c>
      <c r="E8" s="3"/>
      <c r="G8" s="3" t="s">
        <v>78</v>
      </c>
      <c r="H8" s="3" t="s">
        <v>74</v>
      </c>
      <c r="I8" s="3" t="s">
        <v>83</v>
      </c>
      <c r="J8" s="3" t="s">
        <v>92</v>
      </c>
      <c r="K8" s="3" t="s">
        <v>99</v>
      </c>
    </row>
    <row r="9" spans="1:11" x14ac:dyDescent="0.4">
      <c r="A9" s="3">
        <v>7</v>
      </c>
      <c r="B9" s="3" t="s">
        <v>75</v>
      </c>
      <c r="C9" s="3" t="s">
        <v>53</v>
      </c>
      <c r="D9" s="3">
        <v>88.6</v>
      </c>
      <c r="E9" s="3"/>
      <c r="G9" s="3" t="s">
        <v>78</v>
      </c>
      <c r="H9" s="3" t="s">
        <v>70</v>
      </c>
      <c r="I9" s="3" t="s">
        <v>81</v>
      </c>
      <c r="J9" s="3" t="s">
        <v>93</v>
      </c>
      <c r="K9" s="3" t="s">
        <v>100</v>
      </c>
    </row>
    <row r="11" spans="1:11" x14ac:dyDescent="0.4">
      <c r="A11" s="18" t="s">
        <v>102</v>
      </c>
      <c r="B11" s="3" t="s">
        <v>47</v>
      </c>
      <c r="C11" s="3" t="s">
        <v>47</v>
      </c>
      <c r="D11" s="14" t="s">
        <v>62</v>
      </c>
      <c r="E11" s="15"/>
      <c r="G11" s="3" t="s">
        <v>65</v>
      </c>
      <c r="H11" s="3" t="s">
        <v>71</v>
      </c>
      <c r="I11" s="3" t="s">
        <v>72</v>
      </c>
      <c r="J11" s="3" t="s">
        <v>73</v>
      </c>
      <c r="K11" s="3" t="s">
        <v>74</v>
      </c>
    </row>
    <row r="12" spans="1:11" x14ac:dyDescent="0.4">
      <c r="A12" s="18"/>
      <c r="B12" s="3" t="s">
        <v>54</v>
      </c>
      <c r="C12" s="3" t="s">
        <v>52</v>
      </c>
      <c r="D12" s="16">
        <f>ROUNDUP(AVERAGE(DMAX(A2:E9,D2,B11:B12),DMAX(A2:E9,D2,C11:C12)),1)</f>
        <v>91.899999999999991</v>
      </c>
      <c r="E12" s="17"/>
      <c r="G12" s="6" t="s">
        <v>66</v>
      </c>
      <c r="H12" s="3" t="str">
        <f>IF(COUNTIF($H$3:$H$9,H11)&gt;=2,"우수","일반")</f>
        <v>우수</v>
      </c>
      <c r="I12" s="3" t="str">
        <f t="shared" ref="I12:K12" si="0">IF(COUNTIF($H$3:$H$9,I11)&gt;=2,"우수","일반")</f>
        <v>일반</v>
      </c>
      <c r="J12" s="3" t="str">
        <f t="shared" si="0"/>
        <v>일반</v>
      </c>
      <c r="K12" s="3" t="str">
        <f t="shared" si="0"/>
        <v>우수</v>
      </c>
    </row>
    <row r="14" spans="1:11" x14ac:dyDescent="0.4">
      <c r="A14" s="4" t="s">
        <v>103</v>
      </c>
      <c r="B14" s="5" t="s">
        <v>104</v>
      </c>
      <c r="G14" s="4" t="s">
        <v>133</v>
      </c>
      <c r="H14" s="5" t="s">
        <v>134</v>
      </c>
    </row>
    <row r="15" spans="1:11" x14ac:dyDescent="0.4">
      <c r="A15" s="3" t="s">
        <v>105</v>
      </c>
      <c r="B15" s="3" t="s">
        <v>46</v>
      </c>
      <c r="C15" s="3" t="s">
        <v>106</v>
      </c>
      <c r="D15" s="3" t="s">
        <v>107</v>
      </c>
      <c r="E15" s="6" t="s">
        <v>108</v>
      </c>
      <c r="G15" s="3" t="s">
        <v>135</v>
      </c>
      <c r="H15" s="3" t="s">
        <v>136</v>
      </c>
      <c r="I15" s="3" t="s">
        <v>137</v>
      </c>
      <c r="J15" s="3" t="s">
        <v>138</v>
      </c>
      <c r="K15" s="6" t="s">
        <v>139</v>
      </c>
    </row>
    <row r="16" spans="1:11" x14ac:dyDescent="0.4">
      <c r="A16" s="3" t="s">
        <v>126</v>
      </c>
      <c r="B16" s="3" t="s">
        <v>113</v>
      </c>
      <c r="C16" s="3" t="s">
        <v>119</v>
      </c>
      <c r="D16" s="3" t="s">
        <v>109</v>
      </c>
      <c r="E16" s="3" t="str">
        <f>CHOOSE(RIGHT(A16,1),"가구","도서","요리","손글씨","손글씨")</f>
        <v>도서</v>
      </c>
      <c r="G16" s="3" t="s">
        <v>151</v>
      </c>
      <c r="H16" s="3" t="s">
        <v>143</v>
      </c>
      <c r="I16" s="7">
        <v>0.5587037037037037</v>
      </c>
      <c r="J16" s="7">
        <v>0.5822222222222222</v>
      </c>
      <c r="K16" s="7">
        <f>IF(RIGHT(G16,3)="자동차",(J16-I16)+TIME(0,2,0),J16-I16)</f>
        <v>2.3518518518518494E-2</v>
      </c>
    </row>
    <row r="17" spans="1:11" x14ac:dyDescent="0.4">
      <c r="A17" s="3" t="s">
        <v>127</v>
      </c>
      <c r="B17" s="3" t="s">
        <v>114</v>
      </c>
      <c r="C17" s="3" t="s">
        <v>120</v>
      </c>
      <c r="D17" s="3" t="s">
        <v>109</v>
      </c>
      <c r="E17" s="3" t="str">
        <f t="shared" ref="E17:E22" si="1">CHOOSE(RIGHT(A17,1),"가구","도서","요리","손글씨","손글씨")</f>
        <v>가구</v>
      </c>
      <c r="G17" s="3" t="s">
        <v>141</v>
      </c>
      <c r="H17" s="3" t="s">
        <v>144</v>
      </c>
      <c r="I17" s="7">
        <v>0.58013888888888887</v>
      </c>
      <c r="J17" s="7">
        <v>0.60688657407407409</v>
      </c>
      <c r="K17" s="7">
        <f t="shared" ref="K17:K22" si="2">IF(RIGHT(G17,3)="자동차",(J17-I17)+TIME(0,2,0),J17-I17)</f>
        <v>2.8136574074074109E-2</v>
      </c>
    </row>
    <row r="18" spans="1:11" x14ac:dyDescent="0.4">
      <c r="A18" s="3" t="s">
        <v>132</v>
      </c>
      <c r="B18" s="3" t="s">
        <v>118</v>
      </c>
      <c r="C18" s="3" t="s">
        <v>121</v>
      </c>
      <c r="D18" s="3" t="s">
        <v>110</v>
      </c>
      <c r="E18" s="3" t="str">
        <f t="shared" si="1"/>
        <v>요리</v>
      </c>
      <c r="G18" s="3" t="s">
        <v>152</v>
      </c>
      <c r="H18" s="3" t="s">
        <v>145</v>
      </c>
      <c r="I18" s="7">
        <v>0.5663541666666666</v>
      </c>
      <c r="J18" s="7">
        <v>0.60390046296296296</v>
      </c>
      <c r="K18" s="7">
        <f t="shared" si="2"/>
        <v>3.7546296296296355E-2</v>
      </c>
    </row>
    <row r="19" spans="1:11" x14ac:dyDescent="0.4">
      <c r="A19" s="3" t="s">
        <v>128</v>
      </c>
      <c r="B19" s="3" t="s">
        <v>117</v>
      </c>
      <c r="C19" s="3" t="s">
        <v>122</v>
      </c>
      <c r="D19" s="3" t="s">
        <v>53</v>
      </c>
      <c r="E19" s="3" t="str">
        <f t="shared" si="1"/>
        <v>손글씨</v>
      </c>
      <c r="G19" s="3" t="s">
        <v>153</v>
      </c>
      <c r="H19" s="3" t="s">
        <v>146</v>
      </c>
      <c r="I19" s="7">
        <v>0.55435185185185187</v>
      </c>
      <c r="J19" s="7">
        <v>0.57571759259259259</v>
      </c>
      <c r="K19" s="7">
        <f t="shared" si="2"/>
        <v>2.1365740740740713E-2</v>
      </c>
    </row>
    <row r="20" spans="1:11" x14ac:dyDescent="0.4">
      <c r="A20" s="3" t="s">
        <v>129</v>
      </c>
      <c r="B20" s="3" t="s">
        <v>112</v>
      </c>
      <c r="C20" s="3" t="s">
        <v>123</v>
      </c>
      <c r="D20" s="3" t="s">
        <v>54</v>
      </c>
      <c r="E20" s="3" t="str">
        <f t="shared" si="1"/>
        <v>가구</v>
      </c>
      <c r="G20" s="3" t="s">
        <v>142</v>
      </c>
      <c r="H20" s="3" t="s">
        <v>147</v>
      </c>
      <c r="I20" s="7">
        <v>0.56436342592592592</v>
      </c>
      <c r="J20" s="7">
        <v>0.59150462962962969</v>
      </c>
      <c r="K20" s="7">
        <f t="shared" si="2"/>
        <v>2.8530092592592652E-2</v>
      </c>
    </row>
    <row r="21" spans="1:11" x14ac:dyDescent="0.4">
      <c r="A21" s="3" t="s">
        <v>130</v>
      </c>
      <c r="B21" s="3" t="s">
        <v>115</v>
      </c>
      <c r="C21" s="3" t="s">
        <v>124</v>
      </c>
      <c r="D21" s="3" t="s">
        <v>53</v>
      </c>
      <c r="E21" s="3" t="str">
        <f t="shared" si="1"/>
        <v>요리</v>
      </c>
      <c r="G21" s="3" t="s">
        <v>140</v>
      </c>
      <c r="H21" s="3" t="s">
        <v>148</v>
      </c>
      <c r="I21" s="7">
        <v>0.57093749999999999</v>
      </c>
      <c r="J21" s="7">
        <v>0.60993055555555553</v>
      </c>
      <c r="K21" s="7">
        <f t="shared" si="2"/>
        <v>4.0381944444444436E-2</v>
      </c>
    </row>
    <row r="22" spans="1:11" x14ac:dyDescent="0.4">
      <c r="A22" s="3" t="s">
        <v>131</v>
      </c>
      <c r="B22" s="3" t="s">
        <v>116</v>
      </c>
      <c r="C22" s="3" t="s">
        <v>125</v>
      </c>
      <c r="D22" s="3" t="s">
        <v>111</v>
      </c>
      <c r="E22" s="3" t="str">
        <f t="shared" si="1"/>
        <v>손글씨</v>
      </c>
      <c r="G22" s="3" t="s">
        <v>150</v>
      </c>
      <c r="H22" s="3" t="s">
        <v>149</v>
      </c>
      <c r="I22" s="7">
        <v>0.56136574074074075</v>
      </c>
      <c r="J22" s="7">
        <v>0.58783564814814815</v>
      </c>
      <c r="K22" s="7">
        <f t="shared" si="2"/>
        <v>2.64699074074074E-2</v>
      </c>
    </row>
    <row r="24" spans="1:11" x14ac:dyDescent="0.4">
      <c r="A24" s="4" t="s">
        <v>162</v>
      </c>
      <c r="B24" s="5" t="s">
        <v>154</v>
      </c>
    </row>
    <row r="25" spans="1:11" x14ac:dyDescent="0.4">
      <c r="A25" s="3" t="s">
        <v>244</v>
      </c>
      <c r="B25" s="3" t="s">
        <v>245</v>
      </c>
      <c r="C25" s="3" t="s">
        <v>155</v>
      </c>
      <c r="D25" s="3" t="s">
        <v>246</v>
      </c>
    </row>
    <row r="26" spans="1:11" x14ac:dyDescent="0.4">
      <c r="A26" s="3" t="s">
        <v>247</v>
      </c>
      <c r="B26" s="3" t="s">
        <v>248</v>
      </c>
      <c r="C26" s="3">
        <v>18</v>
      </c>
      <c r="D26" s="3">
        <v>25</v>
      </c>
    </row>
    <row r="27" spans="1:11" x14ac:dyDescent="0.4">
      <c r="A27" s="3" t="s">
        <v>249</v>
      </c>
      <c r="B27" s="3" t="s">
        <v>156</v>
      </c>
      <c r="C27" s="3">
        <v>25</v>
      </c>
      <c r="D27" s="3">
        <v>22</v>
      </c>
    </row>
    <row r="28" spans="1:11" x14ac:dyDescent="0.4">
      <c r="A28" s="3" t="s">
        <v>158</v>
      </c>
      <c r="B28" s="3" t="s">
        <v>250</v>
      </c>
      <c r="C28" s="3">
        <v>32</v>
      </c>
      <c r="D28" s="3">
        <v>15</v>
      </c>
    </row>
    <row r="29" spans="1:11" x14ac:dyDescent="0.4">
      <c r="A29" s="3" t="s">
        <v>159</v>
      </c>
      <c r="B29" s="3" t="s">
        <v>251</v>
      </c>
      <c r="C29" s="3">
        <v>24</v>
      </c>
      <c r="D29" s="3">
        <v>19</v>
      </c>
    </row>
    <row r="30" spans="1:11" x14ac:dyDescent="0.4">
      <c r="A30" s="3" t="s">
        <v>252</v>
      </c>
      <c r="B30" s="3" t="s">
        <v>253</v>
      </c>
      <c r="C30" s="3">
        <v>28</v>
      </c>
      <c r="D30" s="3">
        <v>27</v>
      </c>
    </row>
    <row r="31" spans="1:11" x14ac:dyDescent="0.4">
      <c r="A31" s="3" t="s">
        <v>160</v>
      </c>
      <c r="B31" s="3" t="s">
        <v>157</v>
      </c>
      <c r="C31" s="3">
        <v>16</v>
      </c>
      <c r="D31" s="3">
        <v>18</v>
      </c>
      <c r="E31" s="20" t="s">
        <v>161</v>
      </c>
      <c r="F31" s="20"/>
    </row>
    <row r="32" spans="1:11" x14ac:dyDescent="0.4">
      <c r="A32" s="3" t="s">
        <v>254</v>
      </c>
      <c r="B32" s="3" t="s">
        <v>255</v>
      </c>
      <c r="C32" s="3">
        <v>21</v>
      </c>
      <c r="D32" s="3">
        <v>20</v>
      </c>
      <c r="E32" s="19">
        <f>COUNTIFS(C26:C32,"&gt;="&amp;LARGE(C26:C32,3),D26:D32,"&gt;="&amp;LARGE(D26:D32,3))</f>
        <v>2</v>
      </c>
      <c r="F32" s="19"/>
    </row>
  </sheetData>
  <mergeCells count="5">
    <mergeCell ref="D11:E11"/>
    <mergeCell ref="D12:E12"/>
    <mergeCell ref="A11:A12"/>
    <mergeCell ref="E32:F32"/>
    <mergeCell ref="E31:F31"/>
  </mergeCells>
  <phoneticPr fontId="1" type="noConversion"/>
  <pageMargins left="0.7" right="0.7" top="0.75" bottom="0.75" header="0.3" footer="0.3"/>
  <pageSetup paperSize="9" orientation="portrait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F25"/>
  <sheetViews>
    <sheetView topLeftCell="A8" workbookViewId="0">
      <selection activeCell="N25" sqref="N25"/>
    </sheetView>
  </sheetViews>
  <sheetFormatPr defaultRowHeight="17.399999999999999" x14ac:dyDescent="0.4"/>
  <cols>
    <col min="1" max="1" width="11.19921875" bestFit="1" customWidth="1"/>
    <col min="2" max="2" width="10.296875" bestFit="1" customWidth="1"/>
    <col min="3" max="4" width="12.296875" bestFit="1" customWidth="1"/>
  </cols>
  <sheetData>
    <row r="1" spans="1:6" ht="21" x14ac:dyDescent="0.4">
      <c r="A1" s="13" t="s">
        <v>196</v>
      </c>
      <c r="B1" s="13"/>
      <c r="C1" s="13"/>
      <c r="D1" s="13"/>
      <c r="E1" s="13"/>
      <c r="F1" s="13"/>
    </row>
    <row r="3" spans="1:6" x14ac:dyDescent="0.4">
      <c r="A3" s="3" t="s">
        <v>179</v>
      </c>
      <c r="B3" s="3" t="s">
        <v>180</v>
      </c>
      <c r="C3" s="3" t="s">
        <v>190</v>
      </c>
      <c r="D3" s="3" t="s">
        <v>181</v>
      </c>
      <c r="E3" s="3" t="s">
        <v>182</v>
      </c>
      <c r="F3" s="3" t="s">
        <v>170</v>
      </c>
    </row>
    <row r="4" spans="1:6" x14ac:dyDescent="0.4">
      <c r="A4" s="3" t="s">
        <v>171</v>
      </c>
      <c r="B4" s="3" t="s">
        <v>183</v>
      </c>
      <c r="C4" s="3" t="s">
        <v>163</v>
      </c>
      <c r="D4" s="9">
        <v>429</v>
      </c>
      <c r="E4" s="8">
        <v>527</v>
      </c>
      <c r="F4" s="9">
        <v>16</v>
      </c>
    </row>
    <row r="5" spans="1:6" x14ac:dyDescent="0.4">
      <c r="A5" s="3" t="s">
        <v>172</v>
      </c>
      <c r="B5" s="3" t="s">
        <v>184</v>
      </c>
      <c r="C5" s="3" t="s">
        <v>191</v>
      </c>
      <c r="D5" s="9">
        <v>624</v>
      </c>
      <c r="E5" s="8">
        <v>602</v>
      </c>
      <c r="F5" s="9">
        <v>7</v>
      </c>
    </row>
    <row r="6" spans="1:6" x14ac:dyDescent="0.4">
      <c r="A6" s="3" t="s">
        <v>173</v>
      </c>
      <c r="B6" s="3" t="s">
        <v>185</v>
      </c>
      <c r="C6" s="3" t="s">
        <v>192</v>
      </c>
      <c r="D6" s="9">
        <v>551</v>
      </c>
      <c r="E6" s="8">
        <v>598</v>
      </c>
      <c r="F6" s="9">
        <v>29</v>
      </c>
    </row>
    <row r="7" spans="1:6" x14ac:dyDescent="0.4">
      <c r="A7" s="3" t="s">
        <v>186</v>
      </c>
      <c r="B7" s="3" t="s">
        <v>167</v>
      </c>
      <c r="C7" s="3" t="s">
        <v>166</v>
      </c>
      <c r="D7" s="9">
        <v>532</v>
      </c>
      <c r="E7" s="8">
        <v>469</v>
      </c>
      <c r="F7" s="9">
        <v>9</v>
      </c>
    </row>
    <row r="8" spans="1:6" x14ac:dyDescent="0.4">
      <c r="A8" s="3" t="s">
        <v>187</v>
      </c>
      <c r="B8" s="3" t="s">
        <v>167</v>
      </c>
      <c r="C8" s="3" t="s">
        <v>163</v>
      </c>
      <c r="D8" s="9">
        <v>438</v>
      </c>
      <c r="E8" s="8">
        <v>464</v>
      </c>
      <c r="F8" s="9">
        <v>15</v>
      </c>
    </row>
    <row r="9" spans="1:6" x14ac:dyDescent="0.4">
      <c r="A9" s="3" t="s">
        <v>174</v>
      </c>
      <c r="B9" s="3" t="s">
        <v>167</v>
      </c>
      <c r="C9" s="3" t="s">
        <v>193</v>
      </c>
      <c r="D9" s="9">
        <v>399</v>
      </c>
      <c r="E9" s="8">
        <v>491</v>
      </c>
      <c r="F9" s="9">
        <v>11</v>
      </c>
    </row>
    <row r="10" spans="1:6" x14ac:dyDescent="0.4">
      <c r="A10" s="3" t="s">
        <v>175</v>
      </c>
      <c r="B10" s="3" t="s">
        <v>168</v>
      </c>
      <c r="C10" s="3" t="s">
        <v>194</v>
      </c>
      <c r="D10" s="9">
        <v>626</v>
      </c>
      <c r="E10" s="8">
        <v>651</v>
      </c>
      <c r="F10" s="9">
        <v>24</v>
      </c>
    </row>
    <row r="11" spans="1:6" x14ac:dyDescent="0.4">
      <c r="A11" s="3" t="s">
        <v>188</v>
      </c>
      <c r="B11" s="3" t="s">
        <v>168</v>
      </c>
      <c r="C11" s="3" t="s">
        <v>164</v>
      </c>
      <c r="D11" s="9">
        <v>468</v>
      </c>
      <c r="E11" s="8">
        <v>575</v>
      </c>
      <c r="F11" s="9">
        <v>12</v>
      </c>
    </row>
    <row r="12" spans="1:6" x14ac:dyDescent="0.4">
      <c r="A12" s="3" t="s">
        <v>176</v>
      </c>
      <c r="B12" s="3" t="s">
        <v>168</v>
      </c>
      <c r="C12" s="3" t="s">
        <v>165</v>
      </c>
      <c r="D12" s="9">
        <v>530</v>
      </c>
      <c r="E12" s="8">
        <v>467</v>
      </c>
      <c r="F12" s="9">
        <v>23</v>
      </c>
    </row>
    <row r="13" spans="1:6" x14ac:dyDescent="0.4">
      <c r="A13" s="3" t="s">
        <v>177</v>
      </c>
      <c r="B13" s="3" t="s">
        <v>169</v>
      </c>
      <c r="C13" s="3" t="s">
        <v>195</v>
      </c>
      <c r="D13" s="9">
        <v>468</v>
      </c>
      <c r="E13" s="8">
        <v>421</v>
      </c>
      <c r="F13" s="9">
        <v>8</v>
      </c>
    </row>
    <row r="14" spans="1:6" x14ac:dyDescent="0.4">
      <c r="A14" s="3" t="s">
        <v>189</v>
      </c>
      <c r="B14" s="3" t="s">
        <v>169</v>
      </c>
      <c r="C14" s="3" t="s">
        <v>164</v>
      </c>
      <c r="D14" s="9">
        <v>591</v>
      </c>
      <c r="E14" s="8">
        <v>727</v>
      </c>
      <c r="F14" s="9">
        <v>21</v>
      </c>
    </row>
    <row r="15" spans="1:6" x14ac:dyDescent="0.4">
      <c r="A15" s="3" t="s">
        <v>178</v>
      </c>
      <c r="B15" s="3" t="s">
        <v>169</v>
      </c>
      <c r="C15" s="3" t="s">
        <v>165</v>
      </c>
      <c r="D15" s="9">
        <v>371</v>
      </c>
      <c r="E15" s="8">
        <v>324</v>
      </c>
      <c r="F15" s="9">
        <v>18</v>
      </c>
    </row>
    <row r="18" spans="1:4" x14ac:dyDescent="0.4">
      <c r="A18" s="35" t="s">
        <v>257</v>
      </c>
      <c r="B18" t="s">
        <v>270</v>
      </c>
    </row>
    <row r="20" spans="1:4" x14ac:dyDescent="0.4">
      <c r="A20" s="35" t="s">
        <v>271</v>
      </c>
      <c r="B20" t="s">
        <v>274</v>
      </c>
      <c r="C20" t="s">
        <v>275</v>
      </c>
      <c r="D20" t="s">
        <v>276</v>
      </c>
    </row>
    <row r="21" spans="1:4" x14ac:dyDescent="0.4">
      <c r="A21" s="36" t="s">
        <v>272</v>
      </c>
      <c r="B21" s="37">
        <v>52</v>
      </c>
      <c r="C21" s="38">
        <v>534.66666666666663</v>
      </c>
      <c r="D21" s="38">
        <v>575.66666666666663</v>
      </c>
    </row>
    <row r="22" spans="1:4" x14ac:dyDescent="0.4">
      <c r="A22" s="36" t="s">
        <v>167</v>
      </c>
      <c r="B22" s="37">
        <v>35</v>
      </c>
      <c r="C22" s="38">
        <v>456.33333333333331</v>
      </c>
      <c r="D22" s="38">
        <v>474.66666666666669</v>
      </c>
    </row>
    <row r="23" spans="1:4" x14ac:dyDescent="0.4">
      <c r="A23" s="36" t="s">
        <v>168</v>
      </c>
      <c r="B23" s="37">
        <v>59</v>
      </c>
      <c r="C23" s="38">
        <v>541.33333333333337</v>
      </c>
      <c r="D23" s="38">
        <v>564.33333333333337</v>
      </c>
    </row>
    <row r="24" spans="1:4" x14ac:dyDescent="0.4">
      <c r="A24" s="36" t="s">
        <v>169</v>
      </c>
      <c r="B24" s="37">
        <v>47</v>
      </c>
      <c r="C24" s="38">
        <v>476.66666666666669</v>
      </c>
      <c r="D24" s="38">
        <v>490.66666666666669</v>
      </c>
    </row>
    <row r="25" spans="1:4" x14ac:dyDescent="0.4">
      <c r="A25" s="36" t="s">
        <v>273</v>
      </c>
      <c r="B25" s="37">
        <v>193</v>
      </c>
      <c r="C25" s="38">
        <v>502.25</v>
      </c>
      <c r="D25" s="38">
        <v>526.33333333333337</v>
      </c>
    </row>
  </sheetData>
  <mergeCells count="1">
    <mergeCell ref="A1:F1"/>
  </mergeCells>
  <phoneticPr fontId="1" type="noConversion"/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0EFC00-F569-48F7-8CD8-998C49B6DB77}">
  <sheetPr codeName="Sheet6">
    <outlinePr summaryBelow="0"/>
  </sheetPr>
  <dimension ref="B1:F11"/>
  <sheetViews>
    <sheetView showGridLines="0" workbookViewId="0"/>
  </sheetViews>
  <sheetFormatPr defaultRowHeight="17.399999999999999" outlineLevelRow="1" outlineLevelCol="1" x14ac:dyDescent="0.4"/>
  <cols>
    <col min="3" max="3" width="10.3984375" bestFit="1" customWidth="1"/>
    <col min="4" max="6" width="11.69921875" bestFit="1" customWidth="1" outlineLevel="1"/>
  </cols>
  <sheetData>
    <row r="1" spans="2:6" ht="18" thickBot="1" x14ac:dyDescent="0.45"/>
    <row r="2" spans="2:6" x14ac:dyDescent="0.4">
      <c r="B2" s="43" t="s">
        <v>282</v>
      </c>
      <c r="C2" s="44"/>
      <c r="D2" s="50"/>
      <c r="E2" s="50"/>
      <c r="F2" s="50"/>
    </row>
    <row r="3" spans="2:6" collapsed="1" x14ac:dyDescent="0.4">
      <c r="B3" s="42"/>
      <c r="C3" s="42"/>
      <c r="D3" s="51" t="s">
        <v>284</v>
      </c>
      <c r="E3" s="51" t="s">
        <v>279</v>
      </c>
      <c r="F3" s="51" t="s">
        <v>281</v>
      </c>
    </row>
    <row r="4" spans="2:6" ht="46.8" hidden="1" outlineLevel="1" x14ac:dyDescent="0.4">
      <c r="B4" s="46"/>
      <c r="C4" s="46"/>
      <c r="D4" s="39"/>
      <c r="E4" s="53" t="s">
        <v>280</v>
      </c>
      <c r="F4" s="53" t="s">
        <v>280</v>
      </c>
    </row>
    <row r="5" spans="2:6" x14ac:dyDescent="0.4">
      <c r="B5" s="47" t="s">
        <v>283</v>
      </c>
      <c r="C5" s="48"/>
      <c r="D5" s="45"/>
      <c r="E5" s="45"/>
      <c r="F5" s="45"/>
    </row>
    <row r="6" spans="2:6" outlineLevel="1" x14ac:dyDescent="0.4">
      <c r="B6" s="46"/>
      <c r="C6" s="46" t="s">
        <v>277</v>
      </c>
      <c r="D6" s="40">
        <v>0.2</v>
      </c>
      <c r="E6" s="52">
        <v>0.23</v>
      </c>
      <c r="F6" s="52">
        <v>0.18</v>
      </c>
    </row>
    <row r="7" spans="2:6" x14ac:dyDescent="0.4">
      <c r="B7" s="47" t="s">
        <v>285</v>
      </c>
      <c r="C7" s="48"/>
      <c r="D7" s="45"/>
      <c r="E7" s="45"/>
      <c r="F7" s="45"/>
    </row>
    <row r="8" spans="2:6" ht="18" outlineLevel="1" thickBot="1" x14ac:dyDescent="0.45">
      <c r="B8" s="49"/>
      <c r="C8" s="49" t="s">
        <v>278</v>
      </c>
      <c r="D8" s="41">
        <v>24511090</v>
      </c>
      <c r="E8" s="41">
        <v>28187753.5</v>
      </c>
      <c r="F8" s="41">
        <v>22059981</v>
      </c>
    </row>
    <row r="9" spans="2:6" x14ac:dyDescent="0.4">
      <c r="B9" t="s">
        <v>286</v>
      </c>
    </row>
    <row r="10" spans="2:6" x14ac:dyDescent="0.4">
      <c r="B10" t="s">
        <v>287</v>
      </c>
    </row>
    <row r="11" spans="2:6" x14ac:dyDescent="0.4">
      <c r="B11" t="s">
        <v>288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H17"/>
  <sheetViews>
    <sheetView workbookViewId="0">
      <selection activeCell="J19" sqref="J19"/>
    </sheetView>
  </sheetViews>
  <sheetFormatPr defaultRowHeight="17.399999999999999" x14ac:dyDescent="0.4"/>
  <cols>
    <col min="1" max="1" width="10.3984375" bestFit="1" customWidth="1"/>
    <col min="7" max="7" width="12.59765625" bestFit="1" customWidth="1"/>
    <col min="8" max="8" width="11.59765625" bestFit="1" customWidth="1"/>
  </cols>
  <sheetData>
    <row r="1" spans="1:8" ht="21" x14ac:dyDescent="0.4">
      <c r="A1" s="13" t="s">
        <v>205</v>
      </c>
      <c r="B1" s="13"/>
      <c r="C1" s="13"/>
      <c r="D1" s="13"/>
      <c r="E1" s="13"/>
      <c r="F1" s="13"/>
      <c r="G1" s="13"/>
      <c r="H1" s="13"/>
    </row>
    <row r="3" spans="1:8" x14ac:dyDescent="0.4">
      <c r="A3" s="19" t="s">
        <v>206</v>
      </c>
      <c r="B3" s="19" t="s">
        <v>197</v>
      </c>
      <c r="C3" s="19" t="s">
        <v>198</v>
      </c>
      <c r="D3" s="19"/>
      <c r="E3" s="19"/>
      <c r="F3" s="19"/>
      <c r="G3" s="19" t="s">
        <v>203</v>
      </c>
      <c r="H3" s="19" t="s">
        <v>204</v>
      </c>
    </row>
    <row r="4" spans="1:8" x14ac:dyDescent="0.4">
      <c r="A4" s="19"/>
      <c r="B4" s="19"/>
      <c r="C4" s="3" t="s">
        <v>199</v>
      </c>
      <c r="D4" s="3" t="s">
        <v>200</v>
      </c>
      <c r="E4" s="3" t="s">
        <v>201</v>
      </c>
      <c r="F4" s="3" t="s">
        <v>202</v>
      </c>
      <c r="G4" s="19"/>
      <c r="H4" s="19"/>
    </row>
    <row r="5" spans="1:8" x14ac:dyDescent="0.4">
      <c r="A5" s="3" t="s">
        <v>210</v>
      </c>
      <c r="B5" s="8">
        <v>1200</v>
      </c>
      <c r="C5" s="8">
        <v>3542</v>
      </c>
      <c r="D5" s="8">
        <f>ROUND(C5+C5*22%,0)</f>
        <v>4321</v>
      </c>
      <c r="E5" s="8">
        <v>3244</v>
      </c>
      <c r="F5" s="8">
        <f>ROUND(C5+C5*18%,0)</f>
        <v>4180</v>
      </c>
      <c r="G5" s="8">
        <f>B5*SUM(C5:F5)</f>
        <v>18344400</v>
      </c>
      <c r="H5" s="8">
        <f>G5*$H$17</f>
        <v>3668880</v>
      </c>
    </row>
    <row r="6" spans="1:8" x14ac:dyDescent="0.4">
      <c r="A6" s="3" t="s">
        <v>207</v>
      </c>
      <c r="B6" s="8">
        <v>2500</v>
      </c>
      <c r="C6" s="8">
        <v>1243</v>
      </c>
      <c r="D6" s="8">
        <v>1038</v>
      </c>
      <c r="E6" s="8">
        <v>1182</v>
      </c>
      <c r="F6" s="8">
        <v>1356</v>
      </c>
      <c r="G6" s="8">
        <f t="shared" ref="G6:G14" si="0">B6*SUM(C6:F6)</f>
        <v>12047500</v>
      </c>
      <c r="H6" s="8">
        <f t="shared" ref="H6:H14" si="1">G6*$H$17</f>
        <v>2409500</v>
      </c>
    </row>
    <row r="7" spans="1:8" x14ac:dyDescent="0.4">
      <c r="A7" s="3" t="s">
        <v>208</v>
      </c>
      <c r="B7" s="8">
        <v>1600</v>
      </c>
      <c r="C7" s="8">
        <v>2687</v>
      </c>
      <c r="D7" s="8">
        <v>2511</v>
      </c>
      <c r="E7" s="8">
        <v>2754</v>
      </c>
      <c r="F7" s="8">
        <f>ROUND(C7+C7*18%,0)</f>
        <v>3171</v>
      </c>
      <c r="G7" s="8">
        <f t="shared" si="0"/>
        <v>17796800</v>
      </c>
      <c r="H7" s="8">
        <f t="shared" si="1"/>
        <v>3559360</v>
      </c>
    </row>
    <row r="8" spans="1:8" x14ac:dyDescent="0.4">
      <c r="A8" s="3" t="s">
        <v>209</v>
      </c>
      <c r="B8" s="8">
        <v>900</v>
      </c>
      <c r="C8" s="8">
        <v>3102</v>
      </c>
      <c r="D8" s="8">
        <f>ROUND(C8+C8*22%,0)</f>
        <v>3784</v>
      </c>
      <c r="E8" s="8">
        <v>3804</v>
      </c>
      <c r="F8" s="8">
        <v>3506</v>
      </c>
      <c r="G8" s="8">
        <f t="shared" si="0"/>
        <v>12776400</v>
      </c>
      <c r="H8" s="8">
        <f t="shared" si="1"/>
        <v>2555280</v>
      </c>
    </row>
    <row r="9" spans="1:8" x14ac:dyDescent="0.4">
      <c r="A9" s="3" t="s">
        <v>211</v>
      </c>
      <c r="B9" s="8">
        <v>1300</v>
      </c>
      <c r="C9" s="8">
        <v>1921</v>
      </c>
      <c r="D9" s="8">
        <v>1425</v>
      </c>
      <c r="E9" s="8">
        <v>1768</v>
      </c>
      <c r="F9" s="8">
        <f>ROUND(C9+C9*18%,0)</f>
        <v>2267</v>
      </c>
      <c r="G9" s="8">
        <f t="shared" si="0"/>
        <v>9595300</v>
      </c>
      <c r="H9" s="8">
        <f t="shared" si="1"/>
        <v>1919060</v>
      </c>
    </row>
    <row r="10" spans="1:8" x14ac:dyDescent="0.4">
      <c r="A10" s="3" t="s">
        <v>212</v>
      </c>
      <c r="B10" s="8">
        <v>2000</v>
      </c>
      <c r="C10" s="8">
        <v>2065</v>
      </c>
      <c r="D10" s="8">
        <f>ROUND(C10+C10*22%,0)</f>
        <v>2519</v>
      </c>
      <c r="E10" s="8">
        <v>2461</v>
      </c>
      <c r="F10" s="8">
        <v>2242</v>
      </c>
      <c r="G10" s="8">
        <f t="shared" si="0"/>
        <v>18574000</v>
      </c>
      <c r="H10" s="8">
        <f t="shared" si="1"/>
        <v>3714800</v>
      </c>
    </row>
    <row r="11" spans="1:8" x14ac:dyDescent="0.4">
      <c r="A11" s="3" t="s">
        <v>213</v>
      </c>
      <c r="B11" s="8">
        <v>1100</v>
      </c>
      <c r="C11" s="8">
        <v>1887</v>
      </c>
      <c r="D11" s="8">
        <f>ROUND(C11+C11*22%,0)</f>
        <v>2302</v>
      </c>
      <c r="E11" s="8">
        <v>2483</v>
      </c>
      <c r="F11" s="8">
        <v>2579</v>
      </c>
      <c r="G11" s="8">
        <f t="shared" si="0"/>
        <v>10176100</v>
      </c>
      <c r="H11" s="8">
        <f t="shared" si="1"/>
        <v>2035220</v>
      </c>
    </row>
    <row r="12" spans="1:8" x14ac:dyDescent="0.4">
      <c r="A12" s="3" t="s">
        <v>214</v>
      </c>
      <c r="B12" s="8">
        <v>950</v>
      </c>
      <c r="C12" s="8">
        <v>1199</v>
      </c>
      <c r="D12" s="8">
        <f>ROUND(C12+C12*22%,0)</f>
        <v>1463</v>
      </c>
      <c r="E12" s="8">
        <v>1396</v>
      </c>
      <c r="F12" s="8">
        <f>ROUND(C12+C12*18%,0)</f>
        <v>1415</v>
      </c>
      <c r="G12" s="8">
        <f t="shared" si="0"/>
        <v>5199350</v>
      </c>
      <c r="H12" s="8">
        <f t="shared" si="1"/>
        <v>1039870</v>
      </c>
    </row>
    <row r="13" spans="1:8" x14ac:dyDescent="0.4">
      <c r="A13" s="3" t="s">
        <v>215</v>
      </c>
      <c r="B13" s="8">
        <v>2400</v>
      </c>
      <c r="C13" s="8">
        <v>868</v>
      </c>
      <c r="D13" s="8">
        <v>1244</v>
      </c>
      <c r="E13" s="8">
        <v>1381</v>
      </c>
      <c r="F13" s="8">
        <f>ROUND(C13+C13*18%,0)</f>
        <v>1024</v>
      </c>
      <c r="G13" s="8">
        <f t="shared" si="0"/>
        <v>10840800</v>
      </c>
      <c r="H13" s="8">
        <f t="shared" si="1"/>
        <v>2168160</v>
      </c>
    </row>
    <row r="14" spans="1:8" x14ac:dyDescent="0.4">
      <c r="A14" s="3" t="s">
        <v>216</v>
      </c>
      <c r="B14" s="8">
        <v>800</v>
      </c>
      <c r="C14" s="8">
        <v>1934</v>
      </c>
      <c r="D14" s="8">
        <f>ROUND(C14+C14*22%,0)</f>
        <v>2359</v>
      </c>
      <c r="E14" s="8">
        <v>2245</v>
      </c>
      <c r="F14" s="8">
        <v>2468</v>
      </c>
      <c r="G14" s="8">
        <f t="shared" si="0"/>
        <v>7204800</v>
      </c>
      <c r="H14" s="8">
        <f t="shared" si="1"/>
        <v>1440960</v>
      </c>
    </row>
    <row r="15" spans="1:8" x14ac:dyDescent="0.4">
      <c r="A15" s="16" t="s">
        <v>218</v>
      </c>
      <c r="B15" s="21"/>
      <c r="C15" s="21"/>
      <c r="D15" s="21"/>
      <c r="E15" s="21"/>
      <c r="F15" s="17"/>
      <c r="G15" s="11">
        <f t="shared" ref="G15:H15" si="2">SUM(G5:G14)</f>
        <v>122555450</v>
      </c>
      <c r="H15" s="11">
        <f t="shared" si="2"/>
        <v>24511090</v>
      </c>
    </row>
    <row r="17" spans="7:8" x14ac:dyDescent="0.4">
      <c r="G17" s="3" t="s">
        <v>217</v>
      </c>
      <c r="H17" s="10">
        <v>0.2</v>
      </c>
    </row>
  </sheetData>
  <scenarios current="0" sqref="H15">
    <scenario name="수익률증가" locked="1" count="1" user="ylose" comment="만든 사람 ylose 날짜 2023-07-25">
      <inputCells r="H17" val="0.23" numFmtId="9"/>
    </scenario>
    <scenario name="수익률감소" locked="1" count="1" user="ylose" comment="만든 사람 ylose 날짜 2023-07-25">
      <inputCells r="H17" val="0.18" numFmtId="9"/>
    </scenario>
  </scenarios>
  <mergeCells count="7">
    <mergeCell ref="H3:H4"/>
    <mergeCell ref="A1:H1"/>
    <mergeCell ref="A15:F15"/>
    <mergeCell ref="C3:F3"/>
    <mergeCell ref="B3:B4"/>
    <mergeCell ref="A3:A4"/>
    <mergeCell ref="G3:G4"/>
  </mergeCells>
  <phoneticPr fontId="1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E10"/>
  <sheetViews>
    <sheetView workbookViewId="0">
      <selection activeCell="G9" sqref="G9"/>
    </sheetView>
  </sheetViews>
  <sheetFormatPr defaultRowHeight="17.399999999999999" x14ac:dyDescent="0.4"/>
  <cols>
    <col min="1" max="1" width="12.3984375" bestFit="1" customWidth="1"/>
    <col min="4" max="4" width="10.59765625" bestFit="1" customWidth="1"/>
    <col min="7" max="7" width="10.59765625" customWidth="1"/>
  </cols>
  <sheetData>
    <row r="1" spans="1:5" ht="21" x14ac:dyDescent="0.4">
      <c r="A1" s="13" t="s">
        <v>222</v>
      </c>
      <c r="B1" s="13"/>
      <c r="C1" s="13"/>
      <c r="D1" s="13"/>
      <c r="E1" s="13"/>
    </row>
    <row r="3" spans="1:5" x14ac:dyDescent="0.4">
      <c r="A3" s="54" t="s">
        <v>219</v>
      </c>
      <c r="B3" s="54" t="s">
        <v>220</v>
      </c>
      <c r="C3" s="54" t="s">
        <v>230</v>
      </c>
      <c r="D3" s="54" t="s">
        <v>203</v>
      </c>
      <c r="E3" s="54" t="s">
        <v>221</v>
      </c>
    </row>
    <row r="4" spans="1:5" x14ac:dyDescent="0.4">
      <c r="A4" s="3" t="s">
        <v>223</v>
      </c>
      <c r="B4" s="3">
        <v>300</v>
      </c>
      <c r="C4" s="3">
        <v>367</v>
      </c>
      <c r="D4" s="8">
        <v>6606000</v>
      </c>
      <c r="E4" s="10">
        <f>C4/B4</f>
        <v>1.2233333333333334</v>
      </c>
    </row>
    <row r="5" spans="1:5" x14ac:dyDescent="0.4">
      <c r="A5" s="3" t="s">
        <v>224</v>
      </c>
      <c r="B5" s="3">
        <v>200</v>
      </c>
      <c r="C5" s="3">
        <v>242</v>
      </c>
      <c r="D5" s="8">
        <v>5929000</v>
      </c>
      <c r="E5" s="10">
        <f t="shared" ref="E5:E10" si="0">C5/B5</f>
        <v>1.21</v>
      </c>
    </row>
    <row r="6" spans="1:5" x14ac:dyDescent="0.4">
      <c r="A6" s="3" t="s">
        <v>225</v>
      </c>
      <c r="B6" s="3">
        <v>250</v>
      </c>
      <c r="C6" s="3">
        <v>219</v>
      </c>
      <c r="D6" s="8">
        <v>4380000</v>
      </c>
      <c r="E6" s="10">
        <f t="shared" si="0"/>
        <v>0.876</v>
      </c>
    </row>
    <row r="7" spans="1:5" x14ac:dyDescent="0.4">
      <c r="A7" s="3" t="s">
        <v>226</v>
      </c>
      <c r="B7" s="3">
        <v>200</v>
      </c>
      <c r="C7" s="3">
        <v>258</v>
      </c>
      <c r="D7" s="8">
        <v>4257000</v>
      </c>
      <c r="E7" s="10">
        <f t="shared" si="0"/>
        <v>1.29</v>
      </c>
    </row>
    <row r="8" spans="1:5" x14ac:dyDescent="0.4">
      <c r="A8" s="3" t="s">
        <v>227</v>
      </c>
      <c r="B8" s="3">
        <v>250</v>
      </c>
      <c r="C8" s="3">
        <v>221</v>
      </c>
      <c r="D8" s="8">
        <v>3425500</v>
      </c>
      <c r="E8" s="10">
        <f t="shared" si="0"/>
        <v>0.88400000000000001</v>
      </c>
    </row>
    <row r="9" spans="1:5" x14ac:dyDescent="0.4">
      <c r="A9" s="3" t="s">
        <v>228</v>
      </c>
      <c r="B9" s="3">
        <v>150</v>
      </c>
      <c r="C9" s="3">
        <v>126</v>
      </c>
      <c r="D9" s="8">
        <v>2205000</v>
      </c>
      <c r="E9" s="10">
        <f t="shared" si="0"/>
        <v>0.84</v>
      </c>
    </row>
    <row r="10" spans="1:5" x14ac:dyDescent="0.4">
      <c r="A10" s="3" t="s">
        <v>229</v>
      </c>
      <c r="B10" s="3">
        <v>300</v>
      </c>
      <c r="C10" s="3">
        <v>335</v>
      </c>
      <c r="D10" s="8">
        <v>7370000</v>
      </c>
      <c r="E10" s="10">
        <f t="shared" si="0"/>
        <v>1.1166666666666667</v>
      </c>
    </row>
  </sheetData>
  <mergeCells count="1">
    <mergeCell ref="A1:E1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서식">
                <anchor moveWithCells="1" sizeWithCells="1">
                  <from>
                    <xdr:col>6</xdr:col>
                    <xdr:colOff>0</xdr:colOff>
                    <xdr:row>5</xdr:row>
                    <xdr:rowOff>0</xdr:rowOff>
                  </from>
                  <to>
                    <xdr:col>7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G8"/>
  <sheetViews>
    <sheetView workbookViewId="0">
      <selection activeCell="H10" sqref="H10"/>
    </sheetView>
  </sheetViews>
  <sheetFormatPr defaultRowHeight="17.399999999999999" x14ac:dyDescent="0.4"/>
  <sheetData>
    <row r="1" spans="1:7" ht="21" x14ac:dyDescent="0.4">
      <c r="A1" s="13" t="s">
        <v>243</v>
      </c>
      <c r="B1" s="13"/>
      <c r="C1" s="13"/>
      <c r="D1" s="13"/>
      <c r="E1" s="13"/>
      <c r="F1" s="13"/>
      <c r="G1" s="13"/>
    </row>
    <row r="3" spans="1:7" x14ac:dyDescent="0.4">
      <c r="A3" s="3" t="s">
        <v>236</v>
      </c>
      <c r="B3" s="3" t="s">
        <v>231</v>
      </c>
      <c r="C3" s="3" t="s">
        <v>232</v>
      </c>
      <c r="D3" s="3" t="s">
        <v>233</v>
      </c>
      <c r="E3" s="3" t="s">
        <v>234</v>
      </c>
      <c r="F3" s="3" t="s">
        <v>235</v>
      </c>
      <c r="G3" s="3" t="s">
        <v>239</v>
      </c>
    </row>
    <row r="4" spans="1:7" x14ac:dyDescent="0.4">
      <c r="A4" s="3" t="s">
        <v>237</v>
      </c>
      <c r="B4" s="12">
        <v>215</v>
      </c>
      <c r="C4" s="12">
        <v>223</v>
      </c>
      <c r="D4" s="12">
        <v>118</v>
      </c>
      <c r="E4" s="12">
        <v>368</v>
      </c>
      <c r="F4" s="12">
        <v>173</v>
      </c>
      <c r="G4" s="12">
        <f>AVERAGE(B4:F4)</f>
        <v>219.4</v>
      </c>
    </row>
    <row r="5" spans="1:7" x14ac:dyDescent="0.4">
      <c r="A5" s="3" t="s">
        <v>240</v>
      </c>
      <c r="B5" s="12">
        <v>599</v>
      </c>
      <c r="C5" s="12">
        <v>387</v>
      </c>
      <c r="D5" s="12">
        <v>609</v>
      </c>
      <c r="E5" s="12">
        <v>586</v>
      </c>
      <c r="F5" s="12">
        <v>493</v>
      </c>
      <c r="G5" s="12">
        <f t="shared" ref="G5:G7" si="0">AVERAGE(B5:F5)</f>
        <v>534.79999999999995</v>
      </c>
    </row>
    <row r="6" spans="1:7" x14ac:dyDescent="0.4">
      <c r="A6" s="3" t="s">
        <v>241</v>
      </c>
      <c r="B6" s="12">
        <v>293</v>
      </c>
      <c r="C6" s="12">
        <v>247</v>
      </c>
      <c r="D6" s="12">
        <v>172</v>
      </c>
      <c r="E6" s="12">
        <v>351</v>
      </c>
      <c r="F6" s="12">
        <v>448</v>
      </c>
      <c r="G6" s="12">
        <f t="shared" si="0"/>
        <v>302.2</v>
      </c>
    </row>
    <row r="7" spans="1:7" x14ac:dyDescent="0.4">
      <c r="A7" s="3" t="s">
        <v>238</v>
      </c>
      <c r="B7" s="12">
        <v>121</v>
      </c>
      <c r="C7" s="12">
        <v>104</v>
      </c>
      <c r="D7" s="12">
        <v>119</v>
      </c>
      <c r="E7" s="12">
        <v>132</v>
      </c>
      <c r="F7" s="12">
        <v>168</v>
      </c>
      <c r="G7" s="12">
        <f t="shared" si="0"/>
        <v>128.80000000000001</v>
      </c>
    </row>
    <row r="8" spans="1:7" x14ac:dyDescent="0.4">
      <c r="A8" s="3" t="s">
        <v>242</v>
      </c>
      <c r="B8" s="12">
        <f>AVERAGE(B4:B7)</f>
        <v>307</v>
      </c>
      <c r="C8" s="12">
        <f t="shared" ref="C8:G8" si="1">AVERAGE(C4:C7)</f>
        <v>240.25</v>
      </c>
      <c r="D8" s="12">
        <f t="shared" si="1"/>
        <v>254.5</v>
      </c>
      <c r="E8" s="12">
        <f t="shared" si="1"/>
        <v>359.25</v>
      </c>
      <c r="F8" s="12">
        <f t="shared" si="1"/>
        <v>320.5</v>
      </c>
      <c r="G8" s="12">
        <f t="shared" si="1"/>
        <v>296.29999999999995</v>
      </c>
    </row>
  </sheetData>
  <mergeCells count="1">
    <mergeCell ref="A1:G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9</vt:i4>
      </vt:variant>
      <vt:variant>
        <vt:lpstr>이름 지정된 범위</vt:lpstr>
      </vt:variant>
      <vt:variant>
        <vt:i4>4</vt:i4>
      </vt:variant>
    </vt:vector>
  </HeadingPairs>
  <TitlesOfParts>
    <vt:vector size="13" baseType="lpstr">
      <vt:lpstr>기본작업-1</vt:lpstr>
      <vt:lpstr>기본작업-2</vt:lpstr>
      <vt:lpstr>기본작업-3</vt:lpstr>
      <vt:lpstr>계산작업</vt:lpstr>
      <vt:lpstr>분석작업-1</vt:lpstr>
      <vt:lpstr>시나리오 요약</vt:lpstr>
      <vt:lpstr>분석작업-2</vt:lpstr>
      <vt:lpstr>매크로작업</vt:lpstr>
      <vt:lpstr>차트작업</vt:lpstr>
      <vt:lpstr>'기본작업-3'!Criteria</vt:lpstr>
      <vt:lpstr>'기본작업-3'!Extract</vt:lpstr>
      <vt:lpstr>수익률</vt:lpstr>
      <vt:lpstr>순이익합계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김종일</dc:creator>
  <cp:lastModifiedBy>ylose</cp:lastModifiedBy>
  <dcterms:created xsi:type="dcterms:W3CDTF">2021-03-08T05:03:26Z</dcterms:created>
  <dcterms:modified xsi:type="dcterms:W3CDTF">2023-07-25T11:59:51Z</dcterms:modified>
</cp:coreProperties>
</file>