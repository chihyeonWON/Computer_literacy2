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수업\온라인수업\컴활2급\까치\2022년 컴활2급_상시04\"/>
    </mc:Choice>
  </mc:AlternateContent>
  <bookViews>
    <workbookView xWindow="0" yWindow="0" windowWidth="28800" windowHeight="12435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8" r:id="rId7"/>
    <sheet name="차트작업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7" l="1"/>
  <c r="D8" i="7"/>
  <c r="E8" i="7"/>
  <c r="F8" i="7"/>
  <c r="G8" i="7"/>
  <c r="G5" i="7"/>
  <c r="G6" i="7"/>
  <c r="G7" i="7"/>
  <c r="G4" i="7"/>
  <c r="B8" i="7"/>
  <c r="G15" i="6"/>
  <c r="H15" i="6"/>
  <c r="H6" i="6"/>
  <c r="H7" i="6"/>
  <c r="H8" i="6"/>
  <c r="H9" i="6"/>
  <c r="H10" i="6"/>
  <c r="H11" i="6"/>
  <c r="H12" i="6"/>
  <c r="H13" i="6"/>
  <c r="H14" i="6"/>
  <c r="H5" i="6"/>
  <c r="G6" i="6"/>
  <c r="G7" i="6"/>
  <c r="G8" i="6"/>
  <c r="G9" i="6"/>
  <c r="G10" i="6"/>
  <c r="G11" i="6"/>
  <c r="G12" i="6"/>
  <c r="G13" i="6"/>
  <c r="G14" i="6"/>
  <c r="G5" i="6"/>
  <c r="F5" i="6"/>
  <c r="F7" i="6"/>
  <c r="F9" i="6"/>
  <c r="F12" i="6"/>
  <c r="F13" i="6"/>
  <c r="D5" i="6"/>
  <c r="D8" i="6"/>
  <c r="D10" i="6"/>
  <c r="D12" i="6"/>
  <c r="D14" i="6"/>
  <c r="D11" i="6"/>
  <c r="F5" i="2" l="1"/>
  <c r="F6" i="2"/>
  <c r="F7" i="2"/>
  <c r="G5" i="2" s="1"/>
  <c r="F8" i="2"/>
  <c r="F9" i="2"/>
  <c r="F10" i="2"/>
  <c r="F11" i="2"/>
  <c r="G11" i="2" s="1"/>
  <c r="F4" i="2"/>
  <c r="G4" i="2" l="1"/>
  <c r="G10" i="2"/>
  <c r="G9" i="2"/>
  <c r="G8" i="2"/>
  <c r="G7" i="2"/>
  <c r="G6" i="2"/>
</calcChain>
</file>

<file path=xl/sharedStrings.xml><?xml version="1.0" encoding="utf-8"?>
<sst xmlns="http://schemas.openxmlformats.org/spreadsheetml/2006/main" count="285" uniqueCount="256">
  <si>
    <t>상공산업 인사발령</t>
    <phoneticPr fontId="1" type="noConversion"/>
  </si>
  <si>
    <t>분류</t>
    <phoneticPr fontId="1" type="noConversion"/>
  </si>
  <si>
    <t>과일</t>
    <phoneticPr fontId="1" type="noConversion"/>
  </si>
  <si>
    <t>채소</t>
    <phoneticPr fontId="1" type="noConversion"/>
  </si>
  <si>
    <t>정육</t>
    <phoneticPr fontId="1" type="noConversion"/>
  </si>
  <si>
    <t>수산물</t>
    <phoneticPr fontId="1" type="noConversion"/>
  </si>
  <si>
    <t>상품명</t>
    <phoneticPr fontId="1" type="noConversion"/>
  </si>
  <si>
    <t>새콤달콤사과</t>
    <phoneticPr fontId="1" type="noConversion"/>
  </si>
  <si>
    <t>고당도수박</t>
    <phoneticPr fontId="1" type="noConversion"/>
  </si>
  <si>
    <t>일품삽겹살</t>
    <phoneticPr fontId="1" type="noConversion"/>
  </si>
  <si>
    <t>안심한우</t>
    <phoneticPr fontId="1" type="noConversion"/>
  </si>
  <si>
    <t>황토고구마</t>
    <phoneticPr fontId="1" type="noConversion"/>
  </si>
  <si>
    <t>포슬포슬감자</t>
    <phoneticPr fontId="1" type="noConversion"/>
  </si>
  <si>
    <t>안동간고등어</t>
    <phoneticPr fontId="1" type="noConversion"/>
  </si>
  <si>
    <t>제주은갈치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</si>
  <si>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</si>
  <si>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</si>
  <si>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</si>
  <si>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판매순위</t>
    <phoneticPr fontId="1" type="noConversion"/>
  </si>
  <si>
    <t>F-1</t>
    <phoneticPr fontId="1" type="noConversion"/>
  </si>
  <si>
    <t>F-2</t>
  </si>
  <si>
    <t>C-1</t>
    <phoneticPr fontId="1" type="noConversion"/>
  </si>
  <si>
    <t>C-2</t>
  </si>
  <si>
    <t>T-1</t>
    <phoneticPr fontId="1" type="noConversion"/>
  </si>
  <si>
    <t>T-2</t>
  </si>
  <si>
    <t>G-1</t>
    <phoneticPr fontId="1" type="noConversion"/>
  </si>
  <si>
    <t>G-2</t>
  </si>
  <si>
    <t>위치</t>
    <phoneticPr fontId="1" type="noConversion"/>
  </si>
  <si>
    <t>상공마트 판매 현황</t>
    <phoneticPr fontId="1" type="noConversion"/>
  </si>
  <si>
    <t>장애인복지시설</t>
    <phoneticPr fontId="1" type="noConversion"/>
  </si>
  <si>
    <t>여성복지시설</t>
    <phoneticPr fontId="1" type="noConversion"/>
  </si>
  <si>
    <t>지역</t>
    <phoneticPr fontId="1" type="noConversion"/>
  </si>
  <si>
    <t>서울</t>
    <phoneticPr fontId="1" type="noConversion"/>
  </si>
  <si>
    <t>경기</t>
    <phoneticPr fontId="1" type="noConversion"/>
  </si>
  <si>
    <t>부산</t>
    <phoneticPr fontId="1" type="noConversion"/>
  </si>
  <si>
    <t>광주</t>
    <phoneticPr fontId="1" type="noConversion"/>
  </si>
  <si>
    <t>대구</t>
    <phoneticPr fontId="1" type="noConversion"/>
  </si>
  <si>
    <t>대전</t>
    <phoneticPr fontId="1" type="noConversion"/>
  </si>
  <si>
    <t>제주</t>
    <phoneticPr fontId="1" type="noConversion"/>
  </si>
  <si>
    <t>강원</t>
    <phoneticPr fontId="1" type="noConversion"/>
  </si>
  <si>
    <t>인천</t>
    <phoneticPr fontId="1" type="noConversion"/>
  </si>
  <si>
    <t>노인복지시설</t>
    <phoneticPr fontId="1" type="noConversion"/>
  </si>
  <si>
    <t>아동복지시설</t>
    <phoneticPr fontId="1" type="noConversion"/>
  </si>
  <si>
    <t>지역별 복지시설 운영현황</t>
    <phoneticPr fontId="1" type="noConversion"/>
  </si>
  <si>
    <t>[표1]</t>
    <phoneticPr fontId="1" type="noConversion"/>
  </si>
  <si>
    <t>1학기 성적표</t>
    <phoneticPr fontId="1" type="noConversion"/>
  </si>
  <si>
    <t>성명</t>
    <phoneticPr fontId="1" type="noConversion"/>
  </si>
  <si>
    <t>성별</t>
    <phoneticPr fontId="1" type="noConversion"/>
  </si>
  <si>
    <t>점수</t>
    <phoneticPr fontId="1" type="noConversion"/>
  </si>
  <si>
    <t>비고</t>
    <phoneticPr fontId="1" type="noConversion"/>
  </si>
  <si>
    <t>번호</t>
    <phoneticPr fontId="1" type="noConversion"/>
  </si>
  <si>
    <t>특기생</t>
    <phoneticPr fontId="1" type="noConversion"/>
  </si>
  <si>
    <t>여</t>
    <phoneticPr fontId="1" type="noConversion"/>
  </si>
  <si>
    <t>여</t>
    <phoneticPr fontId="1" type="noConversion"/>
  </si>
  <si>
    <t>남</t>
    <phoneticPr fontId="1" type="noConversion"/>
  </si>
  <si>
    <t>남</t>
    <phoneticPr fontId="1" type="noConversion"/>
  </si>
  <si>
    <t>최정욱</t>
    <phoneticPr fontId="1" type="noConversion"/>
  </si>
  <si>
    <t>정영진</t>
    <phoneticPr fontId="1" type="noConversion"/>
  </si>
  <si>
    <t>김성현</t>
    <phoneticPr fontId="1" type="noConversion"/>
  </si>
  <si>
    <t>서동희</t>
    <phoneticPr fontId="1" type="noConversion"/>
  </si>
  <si>
    <t>박지연</t>
    <phoneticPr fontId="1" type="noConversion"/>
  </si>
  <si>
    <t>변효정</t>
    <phoneticPr fontId="1" type="noConversion"/>
  </si>
  <si>
    <t>남여최대평균점수</t>
    <phoneticPr fontId="1" type="noConversion"/>
  </si>
  <si>
    <t>[표2]</t>
    <phoneticPr fontId="1" type="noConversion"/>
  </si>
  <si>
    <t>도서 대여 현황</t>
    <phoneticPr fontId="1" type="noConversion"/>
  </si>
  <si>
    <t>회원ID</t>
    <phoneticPr fontId="1" type="noConversion"/>
  </si>
  <si>
    <t>회원구분</t>
    <phoneticPr fontId="1" type="noConversion"/>
  </si>
  <si>
    <t>회원ID</t>
    <phoneticPr fontId="1" type="noConversion"/>
  </si>
  <si>
    <t>성명</t>
    <phoneticPr fontId="1" type="noConversion"/>
  </si>
  <si>
    <t>분류</t>
    <phoneticPr fontId="1" type="noConversion"/>
  </si>
  <si>
    <t>K-001</t>
    <phoneticPr fontId="1" type="noConversion"/>
  </si>
  <si>
    <t>K-001</t>
    <phoneticPr fontId="1" type="noConversion"/>
  </si>
  <si>
    <t>K-002</t>
    <phoneticPr fontId="1" type="noConversion"/>
  </si>
  <si>
    <t>P-001</t>
    <phoneticPr fontId="1" type="noConversion"/>
  </si>
  <si>
    <t>P-002</t>
    <phoneticPr fontId="1" type="noConversion"/>
  </si>
  <si>
    <t>이수연</t>
    <phoneticPr fontId="1" type="noConversion"/>
  </si>
  <si>
    <t>6월2일</t>
    <phoneticPr fontId="1" type="noConversion"/>
  </si>
  <si>
    <t>6월7일</t>
    <phoneticPr fontId="1" type="noConversion"/>
  </si>
  <si>
    <t>6월10일</t>
    <phoneticPr fontId="1" type="noConversion"/>
  </si>
  <si>
    <t>김원중</t>
    <phoneticPr fontId="1" type="noConversion"/>
  </si>
  <si>
    <t>김원중</t>
    <phoneticPr fontId="1" type="noConversion"/>
  </si>
  <si>
    <t>김원중</t>
    <phoneticPr fontId="1" type="noConversion"/>
  </si>
  <si>
    <t>이예소</t>
    <phoneticPr fontId="1" type="noConversion"/>
  </si>
  <si>
    <t>이예소</t>
    <phoneticPr fontId="1" type="noConversion"/>
  </si>
  <si>
    <t>박현수</t>
    <phoneticPr fontId="1" type="noConversion"/>
  </si>
  <si>
    <t>배은서</t>
    <phoneticPr fontId="1" type="noConversion"/>
  </si>
  <si>
    <t>도서코드</t>
    <phoneticPr fontId="1" type="noConversion"/>
  </si>
  <si>
    <t>경영</t>
    <phoneticPr fontId="1" type="noConversion"/>
  </si>
  <si>
    <t>취미</t>
    <phoneticPr fontId="1" type="noConversion"/>
  </si>
  <si>
    <t>여행</t>
    <phoneticPr fontId="1" type="noConversion"/>
  </si>
  <si>
    <t>소설</t>
    <phoneticPr fontId="1" type="noConversion"/>
  </si>
  <si>
    <t>정치</t>
    <phoneticPr fontId="1" type="noConversion"/>
  </si>
  <si>
    <t>외국어</t>
    <phoneticPr fontId="1" type="noConversion"/>
  </si>
  <si>
    <t>사회</t>
    <phoneticPr fontId="1" type="noConversion"/>
  </si>
  <si>
    <t>E-4521</t>
    <phoneticPr fontId="1" type="noConversion"/>
  </si>
  <si>
    <t>S-1690</t>
    <phoneticPr fontId="1" type="noConversion"/>
  </si>
  <si>
    <t>K-5413</t>
    <phoneticPr fontId="1" type="noConversion"/>
  </si>
  <si>
    <t>G-8378</t>
    <phoneticPr fontId="1" type="noConversion"/>
  </si>
  <si>
    <t>H-5105</t>
    <phoneticPr fontId="1" type="noConversion"/>
  </si>
  <si>
    <t>F-6962</t>
    <phoneticPr fontId="1" type="noConversion"/>
  </si>
  <si>
    <t>D-2074</t>
    <phoneticPr fontId="1" type="noConversion"/>
  </si>
  <si>
    <t>대여일자</t>
    <phoneticPr fontId="1" type="noConversion"/>
  </si>
  <si>
    <t>&lt;조건&gt;</t>
    <phoneticPr fontId="1" type="noConversion"/>
  </si>
  <si>
    <t>[표3]</t>
    <phoneticPr fontId="1" type="noConversion"/>
  </si>
  <si>
    <t>회원 관리 현황</t>
    <phoneticPr fontId="1" type="noConversion"/>
  </si>
  <si>
    <t>회원코드</t>
    <phoneticPr fontId="1" type="noConversion"/>
  </si>
  <si>
    <t>지역</t>
    <phoneticPr fontId="1" type="noConversion"/>
  </si>
  <si>
    <t>성별</t>
    <phoneticPr fontId="1" type="noConversion"/>
  </si>
  <si>
    <t>관심분야</t>
    <phoneticPr fontId="1" type="noConversion"/>
  </si>
  <si>
    <t>남</t>
    <phoneticPr fontId="1" type="noConversion"/>
  </si>
  <si>
    <t>여</t>
    <phoneticPr fontId="1" type="noConversion"/>
  </si>
  <si>
    <t>여</t>
    <phoneticPr fontId="1" type="noConversion"/>
  </si>
  <si>
    <t>장석영</t>
    <phoneticPr fontId="1" type="noConversion"/>
  </si>
  <si>
    <t>윤성철</t>
    <phoneticPr fontId="1" type="noConversion"/>
  </si>
  <si>
    <t>서기운</t>
    <phoneticPr fontId="1" type="noConversion"/>
  </si>
  <si>
    <t>김나운</t>
    <phoneticPr fontId="1" type="noConversion"/>
  </si>
  <si>
    <t>노미경</t>
    <phoneticPr fontId="1" type="noConversion"/>
  </si>
  <si>
    <t>이영애</t>
    <phoneticPr fontId="1" type="noConversion"/>
  </si>
  <si>
    <t>김유진</t>
    <phoneticPr fontId="1" type="noConversion"/>
  </si>
  <si>
    <t>강서구</t>
    <phoneticPr fontId="1" type="noConversion"/>
  </si>
  <si>
    <t>송파구</t>
    <phoneticPr fontId="1" type="noConversion"/>
  </si>
  <si>
    <t>서초구</t>
    <phoneticPr fontId="1" type="noConversion"/>
  </si>
  <si>
    <t>관악구</t>
    <phoneticPr fontId="1" type="noConversion"/>
  </si>
  <si>
    <t>마포구</t>
    <phoneticPr fontId="1" type="noConversion"/>
  </si>
  <si>
    <t>종로구</t>
    <phoneticPr fontId="1" type="noConversion"/>
  </si>
  <si>
    <t>은평구</t>
    <phoneticPr fontId="1" type="noConversion"/>
  </si>
  <si>
    <t>DA-482</t>
    <phoneticPr fontId="1" type="noConversion"/>
  </si>
  <si>
    <t>DA-161</t>
    <phoneticPr fontId="1" type="noConversion"/>
  </si>
  <si>
    <t>DA-974</t>
    <phoneticPr fontId="1" type="noConversion"/>
  </si>
  <si>
    <t>DA-811</t>
    <phoneticPr fontId="1" type="noConversion"/>
  </si>
  <si>
    <t>DA-693</t>
    <phoneticPr fontId="1" type="noConversion"/>
  </si>
  <si>
    <t>DA-575</t>
    <phoneticPr fontId="1" type="noConversion"/>
  </si>
  <si>
    <t>DA-293</t>
    <phoneticPr fontId="1" type="noConversion"/>
  </si>
  <si>
    <t>[표4]</t>
    <phoneticPr fontId="1" type="noConversion"/>
  </si>
  <si>
    <t>자동차 주행 기록</t>
    <phoneticPr fontId="1" type="noConversion"/>
  </si>
  <si>
    <t>소속</t>
    <phoneticPr fontId="1" type="noConversion"/>
  </si>
  <si>
    <t>선수명</t>
    <phoneticPr fontId="1" type="noConversion"/>
  </si>
  <si>
    <t>출발시간</t>
    <phoneticPr fontId="1" type="noConversion"/>
  </si>
  <si>
    <t>도착시간</t>
    <phoneticPr fontId="1" type="noConversion"/>
  </si>
  <si>
    <t>주행기록</t>
    <phoneticPr fontId="1" type="noConversion"/>
  </si>
  <si>
    <t>성공자동차</t>
    <phoneticPr fontId="1" type="noConversion"/>
  </si>
  <si>
    <t>튼튼자동차</t>
    <phoneticPr fontId="1" type="noConversion"/>
  </si>
  <si>
    <t>유명자동차</t>
    <phoneticPr fontId="1" type="noConversion"/>
  </si>
  <si>
    <t>유한열</t>
    <phoneticPr fontId="1" type="noConversion"/>
  </si>
  <si>
    <t>강현준</t>
    <phoneticPr fontId="1" type="noConversion"/>
  </si>
  <si>
    <t>이규창</t>
    <phoneticPr fontId="1" type="noConversion"/>
  </si>
  <si>
    <t>김민수</t>
    <phoneticPr fontId="1" type="noConversion"/>
  </si>
  <si>
    <t>신선부</t>
    <phoneticPr fontId="1" type="noConversion"/>
  </si>
  <si>
    <t>조영수</t>
    <phoneticPr fontId="1" type="noConversion"/>
  </si>
  <si>
    <t>한용욱</t>
    <phoneticPr fontId="1" type="noConversion"/>
  </si>
  <si>
    <t>턴스피드</t>
    <phoneticPr fontId="1" type="noConversion"/>
  </si>
  <si>
    <t>카마스터</t>
    <phoneticPr fontId="1" type="noConversion"/>
  </si>
  <si>
    <t>붕붕모터스</t>
    <phoneticPr fontId="1" type="noConversion"/>
  </si>
  <si>
    <t>오토마스터</t>
    <phoneticPr fontId="1" type="noConversion"/>
  </si>
  <si>
    <t>선수 기록</t>
    <phoneticPr fontId="1" type="noConversion"/>
  </si>
  <si>
    <t>어시스트</t>
    <phoneticPr fontId="1" type="noConversion"/>
  </si>
  <si>
    <t>조성민</t>
    <phoneticPr fontId="1" type="noConversion"/>
  </si>
  <si>
    <t>장희철</t>
    <phoneticPr fontId="1" type="noConversion"/>
  </si>
  <si>
    <t>안양GK</t>
    <phoneticPr fontId="1" type="noConversion"/>
  </si>
  <si>
    <t>울산MB</t>
    <phoneticPr fontId="1" type="noConversion"/>
  </si>
  <si>
    <t>대구KO</t>
    <phoneticPr fontId="1" type="noConversion"/>
  </si>
  <si>
    <t>우수선수 수</t>
    <phoneticPr fontId="1" type="noConversion"/>
  </si>
  <si>
    <t>[표5]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</si>
  <si>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</si>
  <si>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</si>
  <si>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</si>
  <si>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부장</t>
    <phoneticPr fontId="1" type="noConversion"/>
  </si>
  <si>
    <t>영업2팀</t>
  </si>
  <si>
    <t>영업3팀</t>
  </si>
  <si>
    <t>영업4팀</t>
  </si>
  <si>
    <t>반품</t>
    <phoneticPr fontId="1" type="noConversion"/>
  </si>
  <si>
    <t>윤동해</t>
  </si>
  <si>
    <t>강조은</t>
  </si>
  <si>
    <t>권혜리</t>
  </si>
  <si>
    <t>곽슬빈</t>
  </si>
  <si>
    <t>윤희수</t>
  </si>
  <si>
    <t>곽하율</t>
  </si>
  <si>
    <t>황은영</t>
  </si>
  <si>
    <t>김선호</t>
  </si>
  <si>
    <t>사원명</t>
    <phoneticPr fontId="1" type="noConversion"/>
  </si>
  <si>
    <t>부서명</t>
    <phoneticPr fontId="1" type="noConversion"/>
  </si>
  <si>
    <t>전반기</t>
    <phoneticPr fontId="1" type="noConversion"/>
  </si>
  <si>
    <t>하반기</t>
    <phoneticPr fontId="1" type="noConversion"/>
  </si>
  <si>
    <t>영업1팀</t>
    <phoneticPr fontId="1" type="noConversion"/>
  </si>
  <si>
    <t>영업1팀</t>
    <phoneticPr fontId="1" type="noConversion"/>
  </si>
  <si>
    <t>영업1팀</t>
    <phoneticPr fontId="1" type="noConversion"/>
  </si>
  <si>
    <t>안대인</t>
    <phoneticPr fontId="1" type="noConversion"/>
  </si>
  <si>
    <t>심원진</t>
    <phoneticPr fontId="1" type="noConversion"/>
  </si>
  <si>
    <t>전성수</t>
    <phoneticPr fontId="1" type="noConversion"/>
  </si>
  <si>
    <t>권민준</t>
    <phoneticPr fontId="1" type="noConversion"/>
  </si>
  <si>
    <t>직위</t>
    <phoneticPr fontId="1" type="noConversion"/>
  </si>
  <si>
    <t>대리</t>
    <phoneticPr fontId="1" type="noConversion"/>
  </si>
  <si>
    <t>대리</t>
    <phoneticPr fontId="1" type="noConversion"/>
  </si>
  <si>
    <t>사원</t>
    <phoneticPr fontId="1" type="noConversion"/>
  </si>
  <si>
    <t>과장</t>
    <phoneticPr fontId="1" type="noConversion"/>
  </si>
  <si>
    <t>부장</t>
    <phoneticPr fontId="1" type="noConversion"/>
  </si>
  <si>
    <t>사원별 판매 실적</t>
    <phoneticPr fontId="1" type="noConversion"/>
  </si>
  <si>
    <t>판매가</t>
    <phoneticPr fontId="1" type="noConversion"/>
  </si>
  <si>
    <t>판매수량</t>
    <phoneticPr fontId="1" type="noConversion"/>
  </si>
  <si>
    <t>1분기</t>
    <phoneticPr fontId="1" type="noConversion"/>
  </si>
  <si>
    <t>2분기</t>
  </si>
  <si>
    <t>3분기</t>
  </si>
  <si>
    <t>4분기</t>
  </si>
  <si>
    <t>총판매액</t>
    <phoneticPr fontId="1" type="noConversion"/>
  </si>
  <si>
    <t>순이익</t>
    <phoneticPr fontId="1" type="noConversion"/>
  </si>
  <si>
    <t>사무용품 판매 현황</t>
    <phoneticPr fontId="1" type="noConversion"/>
  </si>
  <si>
    <t>용품명</t>
    <phoneticPr fontId="1" type="noConversion"/>
  </si>
  <si>
    <t>수정테이프</t>
    <phoneticPr fontId="1" type="noConversion"/>
  </si>
  <si>
    <t>포스트잇</t>
    <phoneticPr fontId="1" type="noConversion"/>
  </si>
  <si>
    <t>네임펜</t>
    <phoneticPr fontId="1" type="noConversion"/>
  </si>
  <si>
    <t>볼펜</t>
    <phoneticPr fontId="1" type="noConversion"/>
  </si>
  <si>
    <t>커터칼</t>
    <phoneticPr fontId="1" type="noConversion"/>
  </si>
  <si>
    <t>가위</t>
    <phoneticPr fontId="1" type="noConversion"/>
  </si>
  <si>
    <t>투명테이프</t>
    <phoneticPr fontId="1" type="noConversion"/>
  </si>
  <si>
    <t>보드마카</t>
    <phoneticPr fontId="1" type="noConversion"/>
  </si>
  <si>
    <t>스테이플러</t>
    <phoneticPr fontId="1" type="noConversion"/>
  </si>
  <si>
    <t>딱풀</t>
    <phoneticPr fontId="1" type="noConversion"/>
  </si>
  <si>
    <t>수익률</t>
    <phoneticPr fontId="1" type="noConversion"/>
  </si>
  <si>
    <t>합계</t>
    <phoneticPr fontId="1" type="noConversion"/>
  </si>
  <si>
    <t>피자</t>
    <phoneticPr fontId="1" type="noConversion"/>
  </si>
  <si>
    <t>계획수량</t>
    <phoneticPr fontId="1" type="noConversion"/>
  </si>
  <si>
    <t>달성률</t>
    <phoneticPr fontId="1" type="noConversion"/>
  </si>
  <si>
    <t>피자 판매 현황</t>
    <phoneticPr fontId="1" type="noConversion"/>
  </si>
  <si>
    <t>쉬림프피자</t>
    <phoneticPr fontId="1" type="noConversion"/>
  </si>
  <si>
    <t>스테이크피자</t>
    <phoneticPr fontId="1" type="noConversion"/>
  </si>
  <si>
    <t>불고기피자</t>
    <phoneticPr fontId="1" type="noConversion"/>
  </si>
  <si>
    <t>포테이토피자</t>
    <phoneticPr fontId="1" type="noConversion"/>
  </si>
  <si>
    <t>페페로니피자</t>
    <phoneticPr fontId="1" type="noConversion"/>
  </si>
  <si>
    <t>고구마피자</t>
    <phoneticPr fontId="1" type="noConversion"/>
  </si>
  <si>
    <t>콰트로피자</t>
    <phoneticPr fontId="1" type="noConversion"/>
  </si>
  <si>
    <t>판매수량</t>
    <phoneticPr fontId="1" type="noConversion"/>
  </si>
  <si>
    <t>2017년</t>
  </si>
  <si>
    <t>2018년</t>
  </si>
  <si>
    <t>2019년</t>
  </si>
  <si>
    <t>2020년</t>
  </si>
  <si>
    <t>2021년</t>
  </si>
  <si>
    <t>구분</t>
    <phoneticPr fontId="1" type="noConversion"/>
  </si>
  <si>
    <t>봄</t>
    <phoneticPr fontId="1" type="noConversion"/>
  </si>
  <si>
    <t>겨울</t>
    <phoneticPr fontId="1" type="noConversion"/>
  </si>
  <si>
    <t>평균</t>
    <phoneticPr fontId="1" type="noConversion"/>
  </si>
  <si>
    <t>여름</t>
    <phoneticPr fontId="1" type="noConversion"/>
  </si>
  <si>
    <t>가을</t>
    <phoneticPr fontId="1" type="noConversion"/>
  </si>
  <si>
    <t>계절평균</t>
    <phoneticPr fontId="1" type="noConversion"/>
  </si>
  <si>
    <t>연도별 강수량</t>
    <phoneticPr fontId="1" type="noConversion"/>
  </si>
  <si>
    <t>농구팀</t>
    <phoneticPr fontId="1" type="noConversion"/>
  </si>
  <si>
    <t>선수명</t>
    <phoneticPr fontId="1" type="noConversion"/>
  </si>
  <si>
    <t>리바운드</t>
    <phoneticPr fontId="1" type="noConversion"/>
  </si>
  <si>
    <t>서울NK</t>
    <phoneticPr fontId="1" type="noConversion"/>
  </si>
  <si>
    <t>장하원</t>
    <phoneticPr fontId="1" type="noConversion"/>
  </si>
  <si>
    <t>수원KG</t>
    <phoneticPr fontId="1" type="noConversion"/>
  </si>
  <si>
    <t>현주식</t>
    <phoneticPr fontId="1" type="noConversion"/>
  </si>
  <si>
    <t>강해진</t>
    <phoneticPr fontId="1" type="noConversion"/>
  </si>
  <si>
    <t>고양OR</t>
    <phoneticPr fontId="1" type="noConversion"/>
  </si>
  <si>
    <t>김태용</t>
    <phoneticPr fontId="1" type="noConversion"/>
  </si>
  <si>
    <t>창원SC</t>
    <phoneticPr fontId="1" type="noConversion"/>
  </si>
  <si>
    <t>이장훈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</si>
</sst>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h:mm:ss;@"/>
    <numFmt numFmtId="177" formatCode="0_ 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0" xfId="1" applyNumberFormat="1" applyFont="1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2" applyFont="1" applyBorder="1" applyAlignment="1">
      <alignment horizontal="center" vertical="center"/>
    </xf>
    <xf numFmtId="41" fontId="0" fillId="0" borderId="1" xfId="0" applyNumberFormat="1" applyBorder="1" applyAlignment="1">
      <alignment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봄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차트작업!$B$3:$G$3</c:f>
              <c:strCache>
                <c:ptCount val="6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  <c:pt idx="5">
                  <c:v>평균</c:v>
                </c:pt>
              </c:strCache>
            </c:strRef>
          </c:cat>
          <c:val>
            <c:numRef>
              <c:f>차트작업!$B$4:$G$4</c:f>
              <c:numCache>
                <c:formatCode>0_ </c:formatCode>
                <c:ptCount val="6"/>
                <c:pt idx="0">
                  <c:v>215</c:v>
                </c:pt>
                <c:pt idx="1">
                  <c:v>223</c:v>
                </c:pt>
                <c:pt idx="2">
                  <c:v>118</c:v>
                </c:pt>
                <c:pt idx="3">
                  <c:v>368</c:v>
                </c:pt>
                <c:pt idx="4">
                  <c:v>173</c:v>
                </c:pt>
                <c:pt idx="5">
                  <c:v>219.4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B-40F2-BDC1-CB2EF487402C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여름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차트작업!$B$3:$G$3</c:f>
              <c:strCache>
                <c:ptCount val="6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  <c:pt idx="5">
                  <c:v>평균</c:v>
                </c:pt>
              </c:strCache>
            </c:strRef>
          </c:cat>
          <c:val>
            <c:numRef>
              <c:f>차트작업!$B$5:$G$5</c:f>
              <c:numCache>
                <c:formatCode>0_ </c:formatCode>
                <c:ptCount val="6"/>
                <c:pt idx="0">
                  <c:v>599</c:v>
                </c:pt>
                <c:pt idx="1">
                  <c:v>387</c:v>
                </c:pt>
                <c:pt idx="2">
                  <c:v>609</c:v>
                </c:pt>
                <c:pt idx="3">
                  <c:v>586</c:v>
                </c:pt>
                <c:pt idx="4">
                  <c:v>493</c:v>
                </c:pt>
                <c:pt idx="5">
                  <c:v>534.79999999999995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BB-40F2-BDC1-CB2EF487402C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가을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차트작업!$B$3:$G$3</c:f>
              <c:strCache>
                <c:ptCount val="6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  <c:pt idx="5">
                  <c:v>평균</c:v>
                </c:pt>
              </c:strCache>
            </c:strRef>
          </c:cat>
          <c:val>
            <c:numRef>
              <c:f>차트작업!$B$6:$G$6</c:f>
              <c:numCache>
                <c:formatCode>0_ </c:formatCode>
                <c:ptCount val="6"/>
                <c:pt idx="0">
                  <c:v>293</c:v>
                </c:pt>
                <c:pt idx="1">
                  <c:v>247</c:v>
                </c:pt>
                <c:pt idx="2">
                  <c:v>172</c:v>
                </c:pt>
                <c:pt idx="3">
                  <c:v>351</c:v>
                </c:pt>
                <c:pt idx="4">
                  <c:v>448</c:v>
                </c:pt>
                <c:pt idx="5">
                  <c:v>302.2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BB-40F2-BDC1-CB2EF487402C}"/>
            </c:ext>
          </c:extLst>
        </c:ser>
        <c:ser>
          <c:idx val="3"/>
          <c:order val="3"/>
          <c:tx>
            <c:strRef>
              <c:f>차트작업!$A$7</c:f>
              <c:strCache>
                <c:ptCount val="1"/>
                <c:pt idx="0">
                  <c:v>겨울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차트작업!$B$3:$G$3</c:f>
              <c:strCache>
                <c:ptCount val="6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  <c:pt idx="5">
                  <c:v>평균</c:v>
                </c:pt>
              </c:strCache>
            </c:strRef>
          </c:cat>
          <c:val>
            <c:numRef>
              <c:f>차트작업!$B$7:$G$7</c:f>
              <c:numCache>
                <c:formatCode>0_ </c:formatCode>
                <c:ptCount val="6"/>
                <c:pt idx="0">
                  <c:v>121</c:v>
                </c:pt>
                <c:pt idx="1">
                  <c:v>104</c:v>
                </c:pt>
                <c:pt idx="2">
                  <c:v>119</c:v>
                </c:pt>
                <c:pt idx="3">
                  <c:v>132</c:v>
                </c:pt>
                <c:pt idx="4">
                  <c:v>168</c:v>
                </c:pt>
                <c:pt idx="5">
                  <c:v>128.80000000000001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BB-40F2-BDC1-CB2EF487402C}"/>
            </c:ext>
          </c:extLst>
        </c:ser>
        <c:ser>
          <c:idx val="4"/>
          <c:order val="4"/>
          <c:tx>
            <c:strRef>
              <c:f>차트작업!$A$8</c:f>
              <c:strCache>
                <c:ptCount val="1"/>
                <c:pt idx="0">
                  <c:v>계절평균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차트작업!$B$3:$G$3</c:f>
              <c:strCache>
                <c:ptCount val="6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  <c:pt idx="5">
                  <c:v>평균</c:v>
                </c:pt>
              </c:strCache>
            </c:strRef>
          </c:cat>
          <c:val>
            <c:numRef>
              <c:f>차트작업!$B$8:$G$8</c:f>
              <c:numCache>
                <c:formatCode>0_ </c:formatCode>
                <c:ptCount val="6"/>
                <c:pt idx="0">
                  <c:v>307</c:v>
                </c:pt>
                <c:pt idx="1">
                  <c:v>240.25</c:v>
                </c:pt>
                <c:pt idx="2">
                  <c:v>254.5</c:v>
                </c:pt>
                <c:pt idx="3">
                  <c:v>359.25</c:v>
                </c:pt>
                <c:pt idx="4">
                  <c:v>320.5</c:v>
                </c:pt>
                <c:pt idx="5">
                  <c:v>296.29999999999995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BB-40F2-BDC1-CB2EF4874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481952"/>
        <c:axId val="1959485696"/>
      </c:barChart>
      <c:catAx>
        <c:axId val="195948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9485696"/>
        <c:crosses val="autoZero"/>
        <c:auto val="1"/>
        <c:lblAlgn val="ctr"/>
        <c:lblOffset val="100"/>
        <c:noMultiLvlLbl val="0"/>
      </c:catAx>
      <c:valAx>
        <c:axId val="195948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948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219075</xdr:colOff>
      <xdr:row>0</xdr:row>
      <xdr:rowOff>85725</xdr:rowOff>
    </xdr:from>
    <xdr:to>
      <xdr:col>15</xdr:col>
      <xdr:colOff>676275</xdr:colOff>
      <xdr:row>13</xdr:row>
      <xdr:rowOff>24730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48275" y="85725"/>
          <a:ext cx="5943600" cy="26631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0</xdr:row>
      <xdr:rowOff>47625</xdr:rowOff>
    </xdr:from>
    <xdr:to>
      <xdr:col>20</xdr:col>
      <xdr:colOff>304800</xdr:colOff>
      <xdr:row>13</xdr:row>
      <xdr:rowOff>61112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0" y="47625"/>
          <a:ext cx="8382000" cy="27376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171450</xdr:colOff>
      <xdr:row>0</xdr:row>
      <xdr:rowOff>133350</xdr:rowOff>
    </xdr:from>
    <xdr:to>
      <xdr:col>18</xdr:col>
      <xdr:colOff>237088</xdr:colOff>
      <xdr:row>7</xdr:row>
      <xdr:rowOff>199827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4125" y="133350"/>
          <a:ext cx="8295238" cy="15809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171450</xdr:colOff>
      <xdr:row>0</xdr:row>
      <xdr:rowOff>66675</xdr:rowOff>
    </xdr:from>
    <xdr:to>
      <xdr:col>24</xdr:col>
      <xdr:colOff>322802</xdr:colOff>
      <xdr:row>27</xdr:row>
      <xdr:rowOff>18636</xdr:rowOff>
    </xdr:to>
    <xdr:grpSp>
      <xdr:nvGrpSpPr>
        <xdr:cNvPr id="4" name="그룹 3"/>
        <xdr:cNvGrpSpPr/>
      </xdr:nvGrpSpPr>
      <xdr:grpSpPr>
        <a:xfrm>
          <a:off x="8505825" y="66675"/>
          <a:ext cx="8380952" cy="5609811"/>
          <a:chOff x="8505825" y="66675"/>
          <a:chExt cx="8380952" cy="5609811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524875" y="66675"/>
            <a:ext cx="8304762" cy="2371429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505825" y="2362200"/>
            <a:ext cx="8380952" cy="331428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95250</xdr:colOff>
      <xdr:row>0</xdr:row>
      <xdr:rowOff>76200</xdr:rowOff>
    </xdr:from>
    <xdr:to>
      <xdr:col>19</xdr:col>
      <xdr:colOff>151364</xdr:colOff>
      <xdr:row>9</xdr:row>
      <xdr:rowOff>9292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5850" y="76200"/>
          <a:ext cx="8285714" cy="18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152400</xdr:colOff>
      <xdr:row>0</xdr:row>
      <xdr:rowOff>142875</xdr:rowOff>
    </xdr:from>
    <xdr:to>
      <xdr:col>21</xdr:col>
      <xdr:colOff>160895</xdr:colOff>
      <xdr:row>10</xdr:row>
      <xdr:rowOff>190226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42875"/>
          <a:ext cx="8238095" cy="21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457200</xdr:colOff>
      <xdr:row>0</xdr:row>
      <xdr:rowOff>161925</xdr:rowOff>
    </xdr:from>
    <xdr:to>
      <xdr:col>19</xdr:col>
      <xdr:colOff>494267</xdr:colOff>
      <xdr:row>15</xdr:row>
      <xdr:rowOff>123431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5" y="161925"/>
          <a:ext cx="8266667" cy="315238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171450</xdr:colOff>
      <xdr:row>0</xdr:row>
      <xdr:rowOff>66675</xdr:rowOff>
    </xdr:from>
    <xdr:to>
      <xdr:col>18</xdr:col>
      <xdr:colOff>532498</xdr:colOff>
      <xdr:row>21</xdr:row>
      <xdr:rowOff>189929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57850" y="66675"/>
          <a:ext cx="7219048" cy="45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tabSelected="1" workbookViewId="0">
      <selection activeCell="A2" sqref="A2"/>
    </sheetView>
  </sheetViews>
  <sheetFormatPr defaultRowHeight="16.5" x14ac:dyDescent="0.3"/>
  <cols>
    <col min="4" max="4" width="10.375" bestFit="1" customWidth="1"/>
    <col min="6" max="6" width="10.625" bestFit="1" customWidth="1"/>
  </cols>
  <sheetData>
    <row r="1" spans="1:6" x14ac:dyDescent="0.3">
      <c r="A1" t="s">
        <v>0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1"/>
      <c r="F4" s="2"/>
    </row>
    <row r="5" spans="1:6" x14ac:dyDescent="0.3">
      <c r="A5" s="1"/>
      <c r="B5" s="1"/>
      <c r="C5" s="1"/>
      <c r="D5" s="1"/>
      <c r="E5" s="1"/>
      <c r="F5" s="2"/>
    </row>
    <row r="6" spans="1:6" x14ac:dyDescent="0.3">
      <c r="A6" s="1"/>
      <c r="B6" s="1"/>
      <c r="C6" s="1"/>
      <c r="D6" s="1"/>
      <c r="E6" s="1"/>
      <c r="F6" s="2"/>
    </row>
    <row r="7" spans="1:6" x14ac:dyDescent="0.3">
      <c r="A7" s="1"/>
      <c r="B7" s="1"/>
      <c r="C7" s="1"/>
      <c r="D7" s="1"/>
      <c r="E7" s="1"/>
      <c r="F7" s="2"/>
    </row>
    <row r="8" spans="1:6" x14ac:dyDescent="0.3">
      <c r="A8" s="1"/>
      <c r="B8" s="1"/>
      <c r="C8" s="1"/>
      <c r="D8" s="1"/>
      <c r="E8" s="1"/>
      <c r="F8" s="2"/>
    </row>
    <row r="9" spans="1:6" x14ac:dyDescent="0.3">
      <c r="A9" s="1"/>
      <c r="B9" s="1"/>
      <c r="C9" s="1"/>
      <c r="D9" s="1"/>
      <c r="E9" s="1"/>
      <c r="F9" s="2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workbookViewId="0">
      <selection activeCell="P18" sqref="P18"/>
    </sheetView>
  </sheetViews>
  <sheetFormatPr defaultRowHeight="16.5" x14ac:dyDescent="0.3"/>
  <cols>
    <col min="2" max="2" width="12.375" bestFit="1" customWidth="1"/>
    <col min="6" max="6" width="11.625" bestFit="1" customWidth="1"/>
  </cols>
  <sheetData>
    <row r="1" spans="1:7" x14ac:dyDescent="0.3">
      <c r="A1" t="s">
        <v>28</v>
      </c>
    </row>
    <row r="3" spans="1:7" x14ac:dyDescent="0.3">
      <c r="A3" s="1" t="s">
        <v>1</v>
      </c>
      <c r="B3" s="1" t="s">
        <v>6</v>
      </c>
      <c r="C3" s="1" t="s">
        <v>27</v>
      </c>
      <c r="D3" s="1" t="s">
        <v>15</v>
      </c>
      <c r="E3" s="1" t="s">
        <v>16</v>
      </c>
      <c r="F3" s="1" t="s">
        <v>17</v>
      </c>
      <c r="G3" s="1" t="s">
        <v>18</v>
      </c>
    </row>
    <row r="4" spans="1:7" x14ac:dyDescent="0.3">
      <c r="A4" s="1" t="s">
        <v>2</v>
      </c>
      <c r="B4" s="1" t="s">
        <v>7</v>
      </c>
      <c r="C4" s="1" t="s">
        <v>19</v>
      </c>
      <c r="D4">
        <v>9500</v>
      </c>
      <c r="E4">
        <v>4355</v>
      </c>
      <c r="F4" s="3">
        <f>D4*E4</f>
        <v>41372500</v>
      </c>
      <c r="G4" s="1">
        <f>_xlfn.RANK.EQ(F4,$F$4:$F$11)</f>
        <v>2</v>
      </c>
    </row>
    <row r="5" spans="1:7" x14ac:dyDescent="0.3">
      <c r="A5" s="1"/>
      <c r="B5" s="1" t="s">
        <v>8</v>
      </c>
      <c r="C5" s="1" t="s">
        <v>20</v>
      </c>
      <c r="D5">
        <v>18000</v>
      </c>
      <c r="E5">
        <v>1841</v>
      </c>
      <c r="F5" s="3">
        <f t="shared" ref="F5:F11" si="0">D5*E5</f>
        <v>33138000</v>
      </c>
      <c r="G5" s="1">
        <f t="shared" ref="G5:G11" si="1">_xlfn.RANK.EQ(F5,$F$4:$F$11)</f>
        <v>6</v>
      </c>
    </row>
    <row r="6" spans="1:7" x14ac:dyDescent="0.3">
      <c r="A6" s="1" t="s">
        <v>4</v>
      </c>
      <c r="B6" s="1" t="s">
        <v>9</v>
      </c>
      <c r="C6" s="1" t="s">
        <v>21</v>
      </c>
      <c r="D6">
        <v>21000</v>
      </c>
      <c r="E6">
        <v>3097</v>
      </c>
      <c r="F6" s="3">
        <f t="shared" si="0"/>
        <v>65037000</v>
      </c>
      <c r="G6" s="1">
        <f t="shared" si="1"/>
        <v>1</v>
      </c>
    </row>
    <row r="7" spans="1:7" x14ac:dyDescent="0.3">
      <c r="A7" s="1"/>
      <c r="B7" s="1" t="s">
        <v>10</v>
      </c>
      <c r="C7" s="1" t="s">
        <v>22</v>
      </c>
      <c r="D7">
        <v>36000</v>
      </c>
      <c r="E7">
        <v>912</v>
      </c>
      <c r="F7" s="3">
        <f t="shared" si="0"/>
        <v>32832000</v>
      </c>
      <c r="G7" s="1">
        <f t="shared" si="1"/>
        <v>7</v>
      </c>
    </row>
    <row r="8" spans="1:7" x14ac:dyDescent="0.3">
      <c r="A8" s="1" t="s">
        <v>3</v>
      </c>
      <c r="B8" s="1" t="s">
        <v>11</v>
      </c>
      <c r="C8" s="1" t="s">
        <v>23</v>
      </c>
      <c r="D8">
        <v>12000</v>
      </c>
      <c r="E8">
        <v>3104</v>
      </c>
      <c r="F8" s="3">
        <f t="shared" si="0"/>
        <v>37248000</v>
      </c>
      <c r="G8" s="1">
        <f t="shared" si="1"/>
        <v>5</v>
      </c>
    </row>
    <row r="9" spans="1:7" x14ac:dyDescent="0.3">
      <c r="A9" s="1"/>
      <c r="B9" s="1" t="s">
        <v>12</v>
      </c>
      <c r="C9" s="1" t="s">
        <v>24</v>
      </c>
      <c r="D9">
        <v>4500</v>
      </c>
      <c r="E9">
        <v>8713</v>
      </c>
      <c r="F9" s="3">
        <f t="shared" si="0"/>
        <v>39208500</v>
      </c>
      <c r="G9" s="1">
        <f t="shared" si="1"/>
        <v>3</v>
      </c>
    </row>
    <row r="10" spans="1:7" x14ac:dyDescent="0.3">
      <c r="A10" s="1" t="s">
        <v>5</v>
      </c>
      <c r="B10" s="1" t="s">
        <v>13</v>
      </c>
      <c r="C10" s="1" t="s">
        <v>25</v>
      </c>
      <c r="D10">
        <v>8000</v>
      </c>
      <c r="E10">
        <v>4670</v>
      </c>
      <c r="F10" s="3">
        <f t="shared" si="0"/>
        <v>37360000</v>
      </c>
      <c r="G10" s="1">
        <f t="shared" si="1"/>
        <v>4</v>
      </c>
    </row>
    <row r="11" spans="1:7" x14ac:dyDescent="0.3">
      <c r="A11" s="1"/>
      <c r="B11" s="1" t="s">
        <v>14</v>
      </c>
      <c r="C11" s="1" t="s">
        <v>26</v>
      </c>
      <c r="D11">
        <v>24500</v>
      </c>
      <c r="E11">
        <v>1298</v>
      </c>
      <c r="F11" s="3">
        <f t="shared" si="0"/>
        <v>31801000</v>
      </c>
      <c r="G11" s="1">
        <f t="shared" si="1"/>
        <v>8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activeCell="N15" sqref="N15"/>
    </sheetView>
  </sheetViews>
  <sheetFormatPr defaultRowHeight="16.5" x14ac:dyDescent="0.3"/>
  <cols>
    <col min="1" max="5" width="14.375" customWidth="1"/>
  </cols>
  <sheetData>
    <row r="1" spans="1:5" ht="20.25" x14ac:dyDescent="0.3">
      <c r="A1" s="18" t="s">
        <v>43</v>
      </c>
      <c r="B1" s="18"/>
      <c r="C1" s="18"/>
      <c r="D1" s="18"/>
      <c r="E1" s="18"/>
    </row>
    <row r="3" spans="1:5" x14ac:dyDescent="0.3">
      <c r="A3" s="4" t="s">
        <v>31</v>
      </c>
      <c r="B3" s="4" t="s">
        <v>42</v>
      </c>
      <c r="C3" s="4" t="s">
        <v>41</v>
      </c>
      <c r="D3" s="4" t="s">
        <v>29</v>
      </c>
      <c r="E3" s="4" t="s">
        <v>30</v>
      </c>
    </row>
    <row r="4" spans="1:5" x14ac:dyDescent="0.3">
      <c r="A4" s="4" t="s">
        <v>32</v>
      </c>
      <c r="B4" s="4">
        <v>300</v>
      </c>
      <c r="C4" s="4">
        <v>430</v>
      </c>
      <c r="D4" s="4">
        <v>320</v>
      </c>
      <c r="E4" s="4">
        <v>90</v>
      </c>
    </row>
    <row r="5" spans="1:5" x14ac:dyDescent="0.3">
      <c r="A5" s="4" t="s">
        <v>33</v>
      </c>
      <c r="B5" s="4">
        <v>180</v>
      </c>
      <c r="C5" s="4">
        <v>280</v>
      </c>
      <c r="D5" s="4">
        <v>250</v>
      </c>
      <c r="E5" s="4">
        <v>60</v>
      </c>
    </row>
    <row r="6" spans="1:5" x14ac:dyDescent="0.3">
      <c r="A6" s="4" t="s">
        <v>40</v>
      </c>
      <c r="B6" s="4">
        <v>160</v>
      </c>
      <c r="C6" s="4">
        <v>250</v>
      </c>
      <c r="D6" s="4">
        <v>200</v>
      </c>
      <c r="E6" s="4">
        <v>70</v>
      </c>
    </row>
    <row r="7" spans="1:5" x14ac:dyDescent="0.3">
      <c r="A7" s="4" t="s">
        <v>34</v>
      </c>
      <c r="B7" s="4">
        <v>220</v>
      </c>
      <c r="C7" s="4">
        <v>250</v>
      </c>
      <c r="D7" s="4">
        <v>230</v>
      </c>
      <c r="E7" s="4">
        <v>50</v>
      </c>
    </row>
    <row r="8" spans="1:5" x14ac:dyDescent="0.3">
      <c r="A8" s="4" t="s">
        <v>35</v>
      </c>
      <c r="B8" s="4">
        <v>170</v>
      </c>
      <c r="C8" s="4">
        <v>300</v>
      </c>
      <c r="D8" s="4">
        <v>220</v>
      </c>
      <c r="E8" s="4">
        <v>80</v>
      </c>
    </row>
    <row r="9" spans="1:5" x14ac:dyDescent="0.3">
      <c r="A9" s="4" t="s">
        <v>36</v>
      </c>
      <c r="B9" s="4">
        <v>160</v>
      </c>
      <c r="C9" s="4">
        <v>210</v>
      </c>
      <c r="D9" s="4">
        <v>150</v>
      </c>
      <c r="E9" s="4">
        <v>100</v>
      </c>
    </row>
    <row r="10" spans="1:5" x14ac:dyDescent="0.3">
      <c r="A10" s="4" t="s">
        <v>37</v>
      </c>
      <c r="B10" s="4">
        <v>150</v>
      </c>
      <c r="C10" s="4">
        <v>200</v>
      </c>
      <c r="D10" s="4">
        <v>210</v>
      </c>
      <c r="E10" s="4">
        <v>40</v>
      </c>
    </row>
    <row r="11" spans="1:5" x14ac:dyDescent="0.3">
      <c r="A11" s="4" t="s">
        <v>38</v>
      </c>
      <c r="B11" s="4">
        <v>120</v>
      </c>
      <c r="C11" s="4">
        <v>150</v>
      </c>
      <c r="D11" s="4">
        <v>130</v>
      </c>
      <c r="E11" s="4">
        <v>30</v>
      </c>
    </row>
    <row r="12" spans="1:5" x14ac:dyDescent="0.3">
      <c r="A12" s="4" t="s">
        <v>39</v>
      </c>
      <c r="B12" s="4">
        <v>160</v>
      </c>
      <c r="C12" s="4">
        <v>250</v>
      </c>
      <c r="D12" s="4">
        <v>200</v>
      </c>
      <c r="E12" s="4">
        <v>50</v>
      </c>
    </row>
    <row r="15" spans="1:5" x14ac:dyDescent="0.3">
      <c r="A15" s="17"/>
      <c r="B15" s="1"/>
      <c r="C15" s="1"/>
    </row>
    <row r="16" spans="1:5" x14ac:dyDescent="0.3">
      <c r="A16" s="17"/>
      <c r="B16" s="1"/>
      <c r="C16" s="1"/>
    </row>
    <row r="17" spans="1:3" x14ac:dyDescent="0.3">
      <c r="A17" s="1"/>
      <c r="B17" s="1"/>
      <c r="C17" s="1"/>
    </row>
    <row r="20" spans="1:3" x14ac:dyDescent="0.3">
      <c r="A20" s="1"/>
      <c r="B20" s="1"/>
      <c r="C20" s="1"/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2"/>
  <sheetViews>
    <sheetView workbookViewId="0">
      <selection activeCell="Q33" sqref="Q33"/>
    </sheetView>
  </sheetViews>
  <sheetFormatPr defaultRowHeight="16.5" x14ac:dyDescent="0.3"/>
  <cols>
    <col min="7" max="7" width="10.375" bestFit="1" customWidth="1"/>
  </cols>
  <sheetData>
    <row r="1" spans="1:11" x14ac:dyDescent="0.3">
      <c r="A1" s="5" t="s">
        <v>44</v>
      </c>
      <c r="B1" s="6" t="s">
        <v>45</v>
      </c>
      <c r="G1" s="5" t="s">
        <v>63</v>
      </c>
      <c r="H1" s="6" t="s">
        <v>64</v>
      </c>
    </row>
    <row r="2" spans="1:11" x14ac:dyDescent="0.3">
      <c r="A2" s="4" t="s">
        <v>50</v>
      </c>
      <c r="B2" s="4" t="s">
        <v>46</v>
      </c>
      <c r="C2" s="4" t="s">
        <v>47</v>
      </c>
      <c r="D2" s="4" t="s">
        <v>48</v>
      </c>
      <c r="E2" s="4" t="s">
        <v>49</v>
      </c>
      <c r="G2" s="4" t="s">
        <v>101</v>
      </c>
      <c r="H2" s="4" t="s">
        <v>67</v>
      </c>
      <c r="I2" s="4" t="s">
        <v>68</v>
      </c>
      <c r="J2" s="4" t="s">
        <v>69</v>
      </c>
      <c r="K2" s="4" t="s">
        <v>86</v>
      </c>
    </row>
    <row r="3" spans="1:11" x14ac:dyDescent="0.3">
      <c r="A3" s="4">
        <v>1</v>
      </c>
      <c r="B3" s="4" t="s">
        <v>61</v>
      </c>
      <c r="C3" s="4" t="s">
        <v>52</v>
      </c>
      <c r="D3" s="4">
        <v>78.8</v>
      </c>
      <c r="E3" s="4"/>
      <c r="G3" s="4" t="s">
        <v>76</v>
      </c>
      <c r="H3" s="4" t="s">
        <v>70</v>
      </c>
      <c r="I3" s="4" t="s">
        <v>79</v>
      </c>
      <c r="J3" s="4" t="s">
        <v>87</v>
      </c>
      <c r="K3" s="4" t="s">
        <v>94</v>
      </c>
    </row>
    <row r="4" spans="1:11" x14ac:dyDescent="0.3">
      <c r="A4" s="4">
        <v>2</v>
      </c>
      <c r="B4" s="4" t="s">
        <v>57</v>
      </c>
      <c r="C4" s="4" t="s">
        <v>54</v>
      </c>
      <c r="D4" s="4">
        <v>86.7</v>
      </c>
      <c r="E4" s="4" t="s">
        <v>51</v>
      </c>
      <c r="G4" s="4" t="s">
        <v>76</v>
      </c>
      <c r="H4" s="4" t="s">
        <v>73</v>
      </c>
      <c r="I4" s="4" t="s">
        <v>84</v>
      </c>
      <c r="J4" s="4" t="s">
        <v>88</v>
      </c>
      <c r="K4" s="4" t="s">
        <v>95</v>
      </c>
    </row>
    <row r="5" spans="1:11" x14ac:dyDescent="0.3">
      <c r="A5" s="4">
        <v>3</v>
      </c>
      <c r="B5" s="4" t="s">
        <v>58</v>
      </c>
      <c r="C5" s="4" t="s">
        <v>54</v>
      </c>
      <c r="D5" s="4">
        <v>91.5</v>
      </c>
      <c r="E5" s="4"/>
      <c r="G5" s="4" t="s">
        <v>77</v>
      </c>
      <c r="H5" s="4" t="s">
        <v>72</v>
      </c>
      <c r="I5" s="4" t="s">
        <v>85</v>
      </c>
      <c r="J5" s="4" t="s">
        <v>89</v>
      </c>
      <c r="K5" s="4" t="s">
        <v>96</v>
      </c>
    </row>
    <row r="6" spans="1:11" x14ac:dyDescent="0.3">
      <c r="A6" s="4">
        <v>4</v>
      </c>
      <c r="B6" s="4" t="s">
        <v>59</v>
      </c>
      <c r="C6" s="4" t="s">
        <v>53</v>
      </c>
      <c r="D6" s="4">
        <v>82.1</v>
      </c>
      <c r="E6" s="4" t="s">
        <v>51</v>
      </c>
      <c r="G6" s="4" t="s">
        <v>77</v>
      </c>
      <c r="H6" s="4" t="s">
        <v>74</v>
      </c>
      <c r="I6" s="4" t="s">
        <v>82</v>
      </c>
      <c r="J6" s="4" t="s">
        <v>90</v>
      </c>
      <c r="K6" s="4" t="s">
        <v>97</v>
      </c>
    </row>
    <row r="7" spans="1:11" x14ac:dyDescent="0.3">
      <c r="A7" s="4">
        <v>5</v>
      </c>
      <c r="B7" s="4" t="s">
        <v>60</v>
      </c>
      <c r="C7" s="4" t="s">
        <v>53</v>
      </c>
      <c r="D7" s="4">
        <v>92.2</v>
      </c>
      <c r="E7" s="4"/>
      <c r="G7" s="4" t="s">
        <v>77</v>
      </c>
      <c r="H7" s="4" t="s">
        <v>70</v>
      </c>
      <c r="I7" s="4" t="s">
        <v>80</v>
      </c>
      <c r="J7" s="4" t="s">
        <v>91</v>
      </c>
      <c r="K7" s="4" t="s">
        <v>98</v>
      </c>
    </row>
    <row r="8" spans="1:11" x14ac:dyDescent="0.3">
      <c r="A8" s="4">
        <v>6</v>
      </c>
      <c r="B8" s="4" t="s">
        <v>56</v>
      </c>
      <c r="C8" s="4" t="s">
        <v>55</v>
      </c>
      <c r="D8" s="4">
        <v>79.400000000000006</v>
      </c>
      <c r="E8" s="4"/>
      <c r="G8" s="4" t="s">
        <v>78</v>
      </c>
      <c r="H8" s="4" t="s">
        <v>74</v>
      </c>
      <c r="I8" s="4" t="s">
        <v>83</v>
      </c>
      <c r="J8" s="4" t="s">
        <v>92</v>
      </c>
      <c r="K8" s="4" t="s">
        <v>99</v>
      </c>
    </row>
    <row r="9" spans="1:11" x14ac:dyDescent="0.3">
      <c r="A9" s="4">
        <v>7</v>
      </c>
      <c r="B9" s="4" t="s">
        <v>75</v>
      </c>
      <c r="C9" s="4" t="s">
        <v>53</v>
      </c>
      <c r="D9" s="4">
        <v>88.6</v>
      </c>
      <c r="E9" s="4"/>
      <c r="G9" s="4" t="s">
        <v>78</v>
      </c>
      <c r="H9" s="4" t="s">
        <v>70</v>
      </c>
      <c r="I9" s="4" t="s">
        <v>81</v>
      </c>
      <c r="J9" s="4" t="s">
        <v>93</v>
      </c>
      <c r="K9" s="4" t="s">
        <v>100</v>
      </c>
    </row>
    <row r="11" spans="1:11" x14ac:dyDescent="0.3">
      <c r="A11" s="23" t="s">
        <v>102</v>
      </c>
      <c r="B11" s="4"/>
      <c r="C11" s="4"/>
      <c r="D11" s="19" t="s">
        <v>62</v>
      </c>
      <c r="E11" s="20"/>
      <c r="G11" s="4" t="s">
        <v>65</v>
      </c>
      <c r="H11" s="4" t="s">
        <v>71</v>
      </c>
      <c r="I11" s="4" t="s">
        <v>72</v>
      </c>
      <c r="J11" s="4" t="s">
        <v>73</v>
      </c>
      <c r="K11" s="4" t="s">
        <v>74</v>
      </c>
    </row>
    <row r="12" spans="1:11" x14ac:dyDescent="0.3">
      <c r="A12" s="23"/>
      <c r="B12" s="4"/>
      <c r="C12" s="4"/>
      <c r="D12" s="21"/>
      <c r="E12" s="22"/>
      <c r="G12" s="7" t="s">
        <v>66</v>
      </c>
      <c r="H12" s="4"/>
      <c r="I12" s="4"/>
      <c r="J12" s="4"/>
      <c r="K12" s="4"/>
    </row>
    <row r="14" spans="1:11" x14ac:dyDescent="0.3">
      <c r="A14" s="5" t="s">
        <v>103</v>
      </c>
      <c r="B14" s="6" t="s">
        <v>104</v>
      </c>
      <c r="G14" s="5" t="s">
        <v>133</v>
      </c>
      <c r="H14" s="6" t="s">
        <v>134</v>
      </c>
    </row>
    <row r="15" spans="1:11" x14ac:dyDescent="0.3">
      <c r="A15" s="8" t="s">
        <v>105</v>
      </c>
      <c r="B15" s="8" t="s">
        <v>46</v>
      </c>
      <c r="C15" s="8" t="s">
        <v>106</v>
      </c>
      <c r="D15" s="8" t="s">
        <v>107</v>
      </c>
      <c r="E15" s="9" t="s">
        <v>108</v>
      </c>
      <c r="G15" s="8" t="s">
        <v>135</v>
      </c>
      <c r="H15" s="8" t="s">
        <v>136</v>
      </c>
      <c r="I15" s="8" t="s">
        <v>137</v>
      </c>
      <c r="J15" s="8" t="s">
        <v>138</v>
      </c>
      <c r="K15" s="9" t="s">
        <v>139</v>
      </c>
    </row>
    <row r="16" spans="1:11" x14ac:dyDescent="0.3">
      <c r="A16" s="8" t="s">
        <v>126</v>
      </c>
      <c r="B16" s="8" t="s">
        <v>113</v>
      </c>
      <c r="C16" s="8" t="s">
        <v>119</v>
      </c>
      <c r="D16" s="8" t="s">
        <v>109</v>
      </c>
      <c r="E16" s="8"/>
      <c r="G16" s="8" t="s">
        <v>151</v>
      </c>
      <c r="H16" s="8" t="s">
        <v>143</v>
      </c>
      <c r="I16" s="10">
        <v>0.5587037037037037</v>
      </c>
      <c r="J16" s="10">
        <v>0.5822222222222222</v>
      </c>
      <c r="K16" s="10"/>
    </row>
    <row r="17" spans="1:11" x14ac:dyDescent="0.3">
      <c r="A17" s="8" t="s">
        <v>127</v>
      </c>
      <c r="B17" s="8" t="s">
        <v>114</v>
      </c>
      <c r="C17" s="8" t="s">
        <v>120</v>
      </c>
      <c r="D17" s="8" t="s">
        <v>109</v>
      </c>
      <c r="E17" s="8"/>
      <c r="G17" s="8" t="s">
        <v>141</v>
      </c>
      <c r="H17" s="8" t="s">
        <v>144</v>
      </c>
      <c r="I17" s="10">
        <v>0.58013888888888887</v>
      </c>
      <c r="J17" s="10">
        <v>0.60688657407407409</v>
      </c>
      <c r="K17" s="10"/>
    </row>
    <row r="18" spans="1:11" x14ac:dyDescent="0.3">
      <c r="A18" s="8" t="s">
        <v>132</v>
      </c>
      <c r="B18" s="8" t="s">
        <v>118</v>
      </c>
      <c r="C18" s="8" t="s">
        <v>121</v>
      </c>
      <c r="D18" s="8" t="s">
        <v>110</v>
      </c>
      <c r="E18" s="8"/>
      <c r="G18" s="8" t="s">
        <v>152</v>
      </c>
      <c r="H18" s="8" t="s">
        <v>145</v>
      </c>
      <c r="I18" s="10">
        <v>0.5663541666666666</v>
      </c>
      <c r="J18" s="10">
        <v>0.60390046296296296</v>
      </c>
      <c r="K18" s="10"/>
    </row>
    <row r="19" spans="1:11" x14ac:dyDescent="0.3">
      <c r="A19" s="8" t="s">
        <v>128</v>
      </c>
      <c r="B19" s="8" t="s">
        <v>117</v>
      </c>
      <c r="C19" s="8" t="s">
        <v>122</v>
      </c>
      <c r="D19" s="8" t="s">
        <v>53</v>
      </c>
      <c r="E19" s="8"/>
      <c r="G19" s="8" t="s">
        <v>153</v>
      </c>
      <c r="H19" s="8" t="s">
        <v>146</v>
      </c>
      <c r="I19" s="10">
        <v>0.55435185185185187</v>
      </c>
      <c r="J19" s="10">
        <v>0.57571759259259259</v>
      </c>
      <c r="K19" s="10"/>
    </row>
    <row r="20" spans="1:11" x14ac:dyDescent="0.3">
      <c r="A20" s="8" t="s">
        <v>129</v>
      </c>
      <c r="B20" s="8" t="s">
        <v>112</v>
      </c>
      <c r="C20" s="8" t="s">
        <v>123</v>
      </c>
      <c r="D20" s="8" t="s">
        <v>54</v>
      </c>
      <c r="E20" s="8"/>
      <c r="G20" s="8" t="s">
        <v>142</v>
      </c>
      <c r="H20" s="8" t="s">
        <v>147</v>
      </c>
      <c r="I20" s="10">
        <v>0.56436342592592592</v>
      </c>
      <c r="J20" s="10">
        <v>0.59150462962962969</v>
      </c>
      <c r="K20" s="10"/>
    </row>
    <row r="21" spans="1:11" x14ac:dyDescent="0.3">
      <c r="A21" s="8" t="s">
        <v>130</v>
      </c>
      <c r="B21" s="8" t="s">
        <v>115</v>
      </c>
      <c r="C21" s="8" t="s">
        <v>124</v>
      </c>
      <c r="D21" s="8" t="s">
        <v>53</v>
      </c>
      <c r="E21" s="8"/>
      <c r="G21" s="8" t="s">
        <v>140</v>
      </c>
      <c r="H21" s="8" t="s">
        <v>148</v>
      </c>
      <c r="I21" s="10">
        <v>0.57093749999999999</v>
      </c>
      <c r="J21" s="10">
        <v>0.60993055555555553</v>
      </c>
      <c r="K21" s="10"/>
    </row>
    <row r="22" spans="1:11" x14ac:dyDescent="0.3">
      <c r="A22" s="8" t="s">
        <v>131</v>
      </c>
      <c r="B22" s="8" t="s">
        <v>116</v>
      </c>
      <c r="C22" s="8" t="s">
        <v>125</v>
      </c>
      <c r="D22" s="8" t="s">
        <v>111</v>
      </c>
      <c r="E22" s="8"/>
      <c r="G22" s="8" t="s">
        <v>150</v>
      </c>
      <c r="H22" s="8" t="s">
        <v>149</v>
      </c>
      <c r="I22" s="10">
        <v>0.56136574074074075</v>
      </c>
      <c r="J22" s="10">
        <v>0.58783564814814815</v>
      </c>
      <c r="K22" s="10"/>
    </row>
    <row r="24" spans="1:11" x14ac:dyDescent="0.3">
      <c r="A24" s="5" t="s">
        <v>162</v>
      </c>
      <c r="B24" s="6" t="s">
        <v>154</v>
      </c>
    </row>
    <row r="25" spans="1:11" x14ac:dyDescent="0.3">
      <c r="A25" s="8" t="s">
        <v>244</v>
      </c>
      <c r="B25" s="8" t="s">
        <v>245</v>
      </c>
      <c r="C25" s="8" t="s">
        <v>155</v>
      </c>
      <c r="D25" s="8" t="s">
        <v>246</v>
      </c>
    </row>
    <row r="26" spans="1:11" x14ac:dyDescent="0.3">
      <c r="A26" s="8" t="s">
        <v>247</v>
      </c>
      <c r="B26" s="8" t="s">
        <v>248</v>
      </c>
      <c r="C26" s="11">
        <v>18</v>
      </c>
      <c r="D26" s="11">
        <v>25</v>
      </c>
    </row>
    <row r="27" spans="1:11" x14ac:dyDescent="0.3">
      <c r="A27" s="8" t="s">
        <v>249</v>
      </c>
      <c r="B27" s="8" t="s">
        <v>156</v>
      </c>
      <c r="C27" s="11">
        <v>25</v>
      </c>
      <c r="D27" s="11">
        <v>22</v>
      </c>
    </row>
    <row r="28" spans="1:11" x14ac:dyDescent="0.3">
      <c r="A28" s="8" t="s">
        <v>158</v>
      </c>
      <c r="B28" s="8" t="s">
        <v>250</v>
      </c>
      <c r="C28" s="11">
        <v>32</v>
      </c>
      <c r="D28" s="11">
        <v>15</v>
      </c>
    </row>
    <row r="29" spans="1:11" x14ac:dyDescent="0.3">
      <c r="A29" s="8" t="s">
        <v>159</v>
      </c>
      <c r="B29" s="8" t="s">
        <v>251</v>
      </c>
      <c r="C29" s="11">
        <v>24</v>
      </c>
      <c r="D29" s="11">
        <v>19</v>
      </c>
    </row>
    <row r="30" spans="1:11" x14ac:dyDescent="0.3">
      <c r="A30" s="8" t="s">
        <v>252</v>
      </c>
      <c r="B30" s="8" t="s">
        <v>253</v>
      </c>
      <c r="C30" s="11">
        <v>28</v>
      </c>
      <c r="D30" s="11">
        <v>27</v>
      </c>
    </row>
    <row r="31" spans="1:11" x14ac:dyDescent="0.3">
      <c r="A31" s="8" t="s">
        <v>160</v>
      </c>
      <c r="B31" s="8" t="s">
        <v>157</v>
      </c>
      <c r="C31" s="8">
        <v>16</v>
      </c>
      <c r="D31" s="8">
        <v>18</v>
      </c>
      <c r="E31" s="25" t="s">
        <v>161</v>
      </c>
      <c r="F31" s="25"/>
    </row>
    <row r="32" spans="1:11" x14ac:dyDescent="0.3">
      <c r="A32" s="8" t="s">
        <v>254</v>
      </c>
      <c r="B32" s="8" t="s">
        <v>255</v>
      </c>
      <c r="C32" s="8">
        <v>21</v>
      </c>
      <c r="D32" s="8">
        <v>20</v>
      </c>
      <c r="E32" s="24"/>
      <c r="F32" s="24"/>
    </row>
  </sheetData>
  <mergeCells count="5">
    <mergeCell ref="D11:E11"/>
    <mergeCell ref="D12:E12"/>
    <mergeCell ref="A11:A12"/>
    <mergeCell ref="E32:F32"/>
    <mergeCell ref="E31:F3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O14" sqref="O14"/>
    </sheetView>
  </sheetViews>
  <sheetFormatPr defaultRowHeight="16.5" x14ac:dyDescent="0.3"/>
  <sheetData>
    <row r="1" spans="1:6" ht="20.25" x14ac:dyDescent="0.3">
      <c r="A1" s="18" t="s">
        <v>196</v>
      </c>
      <c r="B1" s="18"/>
      <c r="C1" s="18"/>
      <c r="D1" s="18"/>
      <c r="E1" s="18"/>
      <c r="F1" s="18"/>
    </row>
    <row r="3" spans="1:6" x14ac:dyDescent="0.3">
      <c r="A3" s="4" t="s">
        <v>179</v>
      </c>
      <c r="B3" s="4" t="s">
        <v>180</v>
      </c>
      <c r="C3" s="4" t="s">
        <v>190</v>
      </c>
      <c r="D3" s="4" t="s">
        <v>181</v>
      </c>
      <c r="E3" s="4" t="s">
        <v>182</v>
      </c>
      <c r="F3" s="4" t="s">
        <v>170</v>
      </c>
    </row>
    <row r="4" spans="1:6" x14ac:dyDescent="0.3">
      <c r="A4" s="4" t="s">
        <v>171</v>
      </c>
      <c r="B4" s="4" t="s">
        <v>183</v>
      </c>
      <c r="C4" s="4" t="s">
        <v>163</v>
      </c>
      <c r="D4" s="13">
        <v>429</v>
      </c>
      <c r="E4" s="12">
        <v>527</v>
      </c>
      <c r="F4" s="13">
        <v>16</v>
      </c>
    </row>
    <row r="5" spans="1:6" x14ac:dyDescent="0.3">
      <c r="A5" s="4" t="s">
        <v>172</v>
      </c>
      <c r="B5" s="4" t="s">
        <v>184</v>
      </c>
      <c r="C5" s="4" t="s">
        <v>191</v>
      </c>
      <c r="D5" s="13">
        <v>624</v>
      </c>
      <c r="E5" s="12">
        <v>602</v>
      </c>
      <c r="F5" s="13">
        <v>7</v>
      </c>
    </row>
    <row r="6" spans="1:6" x14ac:dyDescent="0.3">
      <c r="A6" s="4" t="s">
        <v>173</v>
      </c>
      <c r="B6" s="4" t="s">
        <v>185</v>
      </c>
      <c r="C6" s="4" t="s">
        <v>192</v>
      </c>
      <c r="D6" s="13">
        <v>551</v>
      </c>
      <c r="E6" s="12">
        <v>598</v>
      </c>
      <c r="F6" s="13">
        <v>29</v>
      </c>
    </row>
    <row r="7" spans="1:6" x14ac:dyDescent="0.3">
      <c r="A7" s="4" t="s">
        <v>186</v>
      </c>
      <c r="B7" s="4" t="s">
        <v>167</v>
      </c>
      <c r="C7" s="4" t="s">
        <v>166</v>
      </c>
      <c r="D7" s="13">
        <v>532</v>
      </c>
      <c r="E7" s="12">
        <v>469</v>
      </c>
      <c r="F7" s="13">
        <v>9</v>
      </c>
    </row>
    <row r="8" spans="1:6" x14ac:dyDescent="0.3">
      <c r="A8" s="4" t="s">
        <v>187</v>
      </c>
      <c r="B8" s="4" t="s">
        <v>167</v>
      </c>
      <c r="C8" s="4" t="s">
        <v>163</v>
      </c>
      <c r="D8" s="13">
        <v>438</v>
      </c>
      <c r="E8" s="12">
        <v>464</v>
      </c>
      <c r="F8" s="13">
        <v>15</v>
      </c>
    </row>
    <row r="9" spans="1:6" x14ac:dyDescent="0.3">
      <c r="A9" s="4" t="s">
        <v>174</v>
      </c>
      <c r="B9" s="4" t="s">
        <v>167</v>
      </c>
      <c r="C9" s="4" t="s">
        <v>193</v>
      </c>
      <c r="D9" s="13">
        <v>399</v>
      </c>
      <c r="E9" s="12">
        <v>491</v>
      </c>
      <c r="F9" s="13">
        <v>11</v>
      </c>
    </row>
    <row r="10" spans="1:6" x14ac:dyDescent="0.3">
      <c r="A10" s="4" t="s">
        <v>175</v>
      </c>
      <c r="B10" s="4" t="s">
        <v>168</v>
      </c>
      <c r="C10" s="4" t="s">
        <v>194</v>
      </c>
      <c r="D10" s="13">
        <v>626</v>
      </c>
      <c r="E10" s="12">
        <v>651</v>
      </c>
      <c r="F10" s="13">
        <v>24</v>
      </c>
    </row>
    <row r="11" spans="1:6" x14ac:dyDescent="0.3">
      <c r="A11" s="4" t="s">
        <v>188</v>
      </c>
      <c r="B11" s="4" t="s">
        <v>168</v>
      </c>
      <c r="C11" s="4" t="s">
        <v>164</v>
      </c>
      <c r="D11" s="13">
        <v>468</v>
      </c>
      <c r="E11" s="12">
        <v>575</v>
      </c>
      <c r="F11" s="13">
        <v>12</v>
      </c>
    </row>
    <row r="12" spans="1:6" x14ac:dyDescent="0.3">
      <c r="A12" s="4" t="s">
        <v>176</v>
      </c>
      <c r="B12" s="4" t="s">
        <v>168</v>
      </c>
      <c r="C12" s="4" t="s">
        <v>165</v>
      </c>
      <c r="D12" s="13">
        <v>530</v>
      </c>
      <c r="E12" s="12">
        <v>467</v>
      </c>
      <c r="F12" s="13">
        <v>23</v>
      </c>
    </row>
    <row r="13" spans="1:6" x14ac:dyDescent="0.3">
      <c r="A13" s="4" t="s">
        <v>177</v>
      </c>
      <c r="B13" s="4" t="s">
        <v>169</v>
      </c>
      <c r="C13" s="4" t="s">
        <v>195</v>
      </c>
      <c r="D13" s="13">
        <v>468</v>
      </c>
      <c r="E13" s="12">
        <v>421</v>
      </c>
      <c r="F13" s="13">
        <v>8</v>
      </c>
    </row>
    <row r="14" spans="1:6" x14ac:dyDescent="0.3">
      <c r="A14" s="4" t="s">
        <v>189</v>
      </c>
      <c r="B14" s="4" t="s">
        <v>169</v>
      </c>
      <c r="C14" s="4" t="s">
        <v>164</v>
      </c>
      <c r="D14" s="13">
        <v>591</v>
      </c>
      <c r="E14" s="12">
        <v>727</v>
      </c>
      <c r="F14" s="13">
        <v>21</v>
      </c>
    </row>
    <row r="15" spans="1:6" x14ac:dyDescent="0.3">
      <c r="A15" s="4" t="s">
        <v>178</v>
      </c>
      <c r="B15" s="4" t="s">
        <v>169</v>
      </c>
      <c r="C15" s="4" t="s">
        <v>165</v>
      </c>
      <c r="D15" s="13">
        <v>371</v>
      </c>
      <c r="E15" s="12">
        <v>324</v>
      </c>
      <c r="F15" s="13">
        <v>18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"/>
  <sheetViews>
    <sheetView workbookViewId="0">
      <selection activeCell="M16" sqref="M16"/>
    </sheetView>
  </sheetViews>
  <sheetFormatPr defaultRowHeight="16.5" x14ac:dyDescent="0.3"/>
  <cols>
    <col min="1" max="1" width="10.375" bestFit="1" customWidth="1"/>
    <col min="7" max="7" width="12.625" bestFit="1" customWidth="1"/>
    <col min="8" max="8" width="11.625" bestFit="1" customWidth="1"/>
  </cols>
  <sheetData>
    <row r="1" spans="1:8" ht="20.25" x14ac:dyDescent="0.3">
      <c r="A1" s="18" t="s">
        <v>205</v>
      </c>
      <c r="B1" s="18"/>
      <c r="C1" s="18"/>
      <c r="D1" s="18"/>
      <c r="E1" s="18"/>
      <c r="F1" s="18"/>
      <c r="G1" s="18"/>
      <c r="H1" s="18"/>
    </row>
    <row r="3" spans="1:8" x14ac:dyDescent="0.3">
      <c r="A3" s="24" t="s">
        <v>206</v>
      </c>
      <c r="B3" s="24" t="s">
        <v>197</v>
      </c>
      <c r="C3" s="24" t="s">
        <v>198</v>
      </c>
      <c r="D3" s="24"/>
      <c r="E3" s="24"/>
      <c r="F3" s="24"/>
      <c r="G3" s="24" t="s">
        <v>203</v>
      </c>
      <c r="H3" s="24" t="s">
        <v>204</v>
      </c>
    </row>
    <row r="4" spans="1:8" x14ac:dyDescent="0.3">
      <c r="A4" s="24"/>
      <c r="B4" s="24"/>
      <c r="C4" s="4" t="s">
        <v>199</v>
      </c>
      <c r="D4" s="4" t="s">
        <v>200</v>
      </c>
      <c r="E4" s="4" t="s">
        <v>201</v>
      </c>
      <c r="F4" s="4" t="s">
        <v>202</v>
      </c>
      <c r="G4" s="24"/>
      <c r="H4" s="24"/>
    </row>
    <row r="5" spans="1:8" x14ac:dyDescent="0.3">
      <c r="A5" s="4" t="s">
        <v>210</v>
      </c>
      <c r="B5" s="12">
        <v>1200</v>
      </c>
      <c r="C5" s="12">
        <v>3542</v>
      </c>
      <c r="D5" s="12">
        <f>ROUND(C5+C5*22%,0)</f>
        <v>4321</v>
      </c>
      <c r="E5" s="12">
        <v>3244</v>
      </c>
      <c r="F5" s="12">
        <f>ROUND(C5+C5*18%,0)</f>
        <v>4180</v>
      </c>
      <c r="G5" s="12">
        <f>B5*SUM(C5:F5)</f>
        <v>18344400</v>
      </c>
      <c r="H5" s="12">
        <f>G5*$H$17</f>
        <v>3668880</v>
      </c>
    </row>
    <row r="6" spans="1:8" x14ac:dyDescent="0.3">
      <c r="A6" s="4" t="s">
        <v>207</v>
      </c>
      <c r="B6" s="12">
        <v>2500</v>
      </c>
      <c r="C6" s="12">
        <v>1243</v>
      </c>
      <c r="D6" s="12">
        <v>1038</v>
      </c>
      <c r="E6" s="12">
        <v>1182</v>
      </c>
      <c r="F6" s="12">
        <v>1356</v>
      </c>
      <c r="G6" s="12">
        <f t="shared" ref="G6:G14" si="0">B6*SUM(C6:F6)</f>
        <v>12047500</v>
      </c>
      <c r="H6" s="12">
        <f t="shared" ref="H6:H14" si="1">G6*$H$17</f>
        <v>2409500</v>
      </c>
    </row>
    <row r="7" spans="1:8" x14ac:dyDescent="0.3">
      <c r="A7" s="4" t="s">
        <v>208</v>
      </c>
      <c r="B7" s="12">
        <v>1600</v>
      </c>
      <c r="C7" s="12">
        <v>2687</v>
      </c>
      <c r="D7" s="12">
        <v>2511</v>
      </c>
      <c r="E7" s="12">
        <v>2754</v>
      </c>
      <c r="F7" s="12">
        <f>ROUND(C7+C7*18%,0)</f>
        <v>3171</v>
      </c>
      <c r="G7" s="12">
        <f t="shared" si="0"/>
        <v>17796800</v>
      </c>
      <c r="H7" s="12">
        <f t="shared" si="1"/>
        <v>3559360</v>
      </c>
    </row>
    <row r="8" spans="1:8" x14ac:dyDescent="0.3">
      <c r="A8" s="4" t="s">
        <v>209</v>
      </c>
      <c r="B8" s="12">
        <v>900</v>
      </c>
      <c r="C8" s="12">
        <v>3102</v>
      </c>
      <c r="D8" s="12">
        <f>ROUND(C8+C8*22%,0)</f>
        <v>3784</v>
      </c>
      <c r="E8" s="12">
        <v>3804</v>
      </c>
      <c r="F8" s="12">
        <v>3506</v>
      </c>
      <c r="G8" s="12">
        <f t="shared" si="0"/>
        <v>12776400</v>
      </c>
      <c r="H8" s="12">
        <f t="shared" si="1"/>
        <v>2555280</v>
      </c>
    </row>
    <row r="9" spans="1:8" x14ac:dyDescent="0.3">
      <c r="A9" s="4" t="s">
        <v>211</v>
      </c>
      <c r="B9" s="12">
        <v>1300</v>
      </c>
      <c r="C9" s="12">
        <v>1921</v>
      </c>
      <c r="D9" s="12">
        <v>1425</v>
      </c>
      <c r="E9" s="12">
        <v>1768</v>
      </c>
      <c r="F9" s="12">
        <f>ROUND(C9+C9*18%,0)</f>
        <v>2267</v>
      </c>
      <c r="G9" s="12">
        <f t="shared" si="0"/>
        <v>9595300</v>
      </c>
      <c r="H9" s="12">
        <f t="shared" si="1"/>
        <v>1919060</v>
      </c>
    </row>
    <row r="10" spans="1:8" x14ac:dyDescent="0.3">
      <c r="A10" s="4" t="s">
        <v>212</v>
      </c>
      <c r="B10" s="12">
        <v>2000</v>
      </c>
      <c r="C10" s="12">
        <v>2065</v>
      </c>
      <c r="D10" s="12">
        <f>ROUND(C10+C10*22%,0)</f>
        <v>2519</v>
      </c>
      <c r="E10" s="12">
        <v>2461</v>
      </c>
      <c r="F10" s="12">
        <v>2242</v>
      </c>
      <c r="G10" s="12">
        <f t="shared" si="0"/>
        <v>18574000</v>
      </c>
      <c r="H10" s="12">
        <f t="shared" si="1"/>
        <v>3714800</v>
      </c>
    </row>
    <row r="11" spans="1:8" x14ac:dyDescent="0.3">
      <c r="A11" s="4" t="s">
        <v>213</v>
      </c>
      <c r="B11" s="12">
        <v>1100</v>
      </c>
      <c r="C11" s="12">
        <v>1887</v>
      </c>
      <c r="D11" s="12">
        <f>ROUND(C11+C11*22%,0)</f>
        <v>2302</v>
      </c>
      <c r="E11" s="12">
        <v>2483</v>
      </c>
      <c r="F11" s="12">
        <v>2579</v>
      </c>
      <c r="G11" s="12">
        <f t="shared" si="0"/>
        <v>10176100</v>
      </c>
      <c r="H11" s="12">
        <f t="shared" si="1"/>
        <v>2035220</v>
      </c>
    </row>
    <row r="12" spans="1:8" x14ac:dyDescent="0.3">
      <c r="A12" s="4" t="s">
        <v>214</v>
      </c>
      <c r="B12" s="12">
        <v>950</v>
      </c>
      <c r="C12" s="12">
        <v>1199</v>
      </c>
      <c r="D12" s="12">
        <f>ROUND(C12+C12*22%,0)</f>
        <v>1463</v>
      </c>
      <c r="E12" s="12">
        <v>1396</v>
      </c>
      <c r="F12" s="12">
        <f>ROUND(C12+C12*18%,0)</f>
        <v>1415</v>
      </c>
      <c r="G12" s="12">
        <f t="shared" si="0"/>
        <v>5199350</v>
      </c>
      <c r="H12" s="12">
        <f t="shared" si="1"/>
        <v>1039870</v>
      </c>
    </row>
    <row r="13" spans="1:8" x14ac:dyDescent="0.3">
      <c r="A13" s="4" t="s">
        <v>215</v>
      </c>
      <c r="B13" s="12">
        <v>2400</v>
      </c>
      <c r="C13" s="12">
        <v>868</v>
      </c>
      <c r="D13" s="12">
        <v>1244</v>
      </c>
      <c r="E13" s="12">
        <v>1381</v>
      </c>
      <c r="F13" s="12">
        <f>ROUND(C13+C13*18%,0)</f>
        <v>1024</v>
      </c>
      <c r="G13" s="12">
        <f t="shared" si="0"/>
        <v>10840800</v>
      </c>
      <c r="H13" s="12">
        <f t="shared" si="1"/>
        <v>2168160</v>
      </c>
    </row>
    <row r="14" spans="1:8" x14ac:dyDescent="0.3">
      <c r="A14" s="4" t="s">
        <v>216</v>
      </c>
      <c r="B14" s="12">
        <v>800</v>
      </c>
      <c r="C14" s="12">
        <v>1934</v>
      </c>
      <c r="D14" s="12">
        <f>ROUND(C14+C14*22%,0)</f>
        <v>2359</v>
      </c>
      <c r="E14" s="12">
        <v>2245</v>
      </c>
      <c r="F14" s="12">
        <v>2468</v>
      </c>
      <c r="G14" s="12">
        <f t="shared" si="0"/>
        <v>7204800</v>
      </c>
      <c r="H14" s="12">
        <f t="shared" si="1"/>
        <v>1440960</v>
      </c>
    </row>
    <row r="15" spans="1:8" x14ac:dyDescent="0.3">
      <c r="A15" s="21" t="s">
        <v>218</v>
      </c>
      <c r="B15" s="26"/>
      <c r="C15" s="26"/>
      <c r="D15" s="26"/>
      <c r="E15" s="26"/>
      <c r="F15" s="22"/>
      <c r="G15" s="15">
        <f t="shared" ref="G15:H15" si="2">SUM(G5:G14)</f>
        <v>122555450</v>
      </c>
      <c r="H15" s="15">
        <f t="shared" si="2"/>
        <v>24511090</v>
      </c>
    </row>
    <row r="17" spans="7:8" x14ac:dyDescent="0.3">
      <c r="G17" s="4" t="s">
        <v>217</v>
      </c>
      <c r="H17" s="14">
        <v>0.2</v>
      </c>
    </row>
  </sheetData>
  <mergeCells count="7">
    <mergeCell ref="H3:H4"/>
    <mergeCell ref="A1:H1"/>
    <mergeCell ref="A15:F15"/>
    <mergeCell ref="C3:F3"/>
    <mergeCell ref="B3:B4"/>
    <mergeCell ref="A3:A4"/>
    <mergeCell ref="G3:G4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workbookViewId="0">
      <selection activeCell="N19" sqref="N19"/>
    </sheetView>
  </sheetViews>
  <sheetFormatPr defaultRowHeight="16.5" x14ac:dyDescent="0.3"/>
  <cols>
    <col min="1" max="1" width="12.375" bestFit="1" customWidth="1"/>
    <col min="4" max="4" width="10.625" bestFit="1" customWidth="1"/>
    <col min="7" max="7" width="10.625" customWidth="1"/>
  </cols>
  <sheetData>
    <row r="1" spans="1:5" ht="20.25" x14ac:dyDescent="0.3">
      <c r="A1" s="18" t="s">
        <v>222</v>
      </c>
      <c r="B1" s="18"/>
      <c r="C1" s="18"/>
      <c r="D1" s="18"/>
      <c r="E1" s="18"/>
    </row>
    <row r="3" spans="1:5" x14ac:dyDescent="0.3">
      <c r="A3" s="4" t="s">
        <v>219</v>
      </c>
      <c r="B3" s="4" t="s">
        <v>220</v>
      </c>
      <c r="C3" s="4" t="s">
        <v>230</v>
      </c>
      <c r="D3" s="4" t="s">
        <v>203</v>
      </c>
      <c r="E3" s="4" t="s">
        <v>221</v>
      </c>
    </row>
    <row r="4" spans="1:5" x14ac:dyDescent="0.3">
      <c r="A4" s="4" t="s">
        <v>223</v>
      </c>
      <c r="B4" s="4">
        <v>300</v>
      </c>
      <c r="C4" s="4">
        <v>367</v>
      </c>
      <c r="D4" s="12">
        <v>6606000</v>
      </c>
      <c r="E4" s="14"/>
    </row>
    <row r="5" spans="1:5" x14ac:dyDescent="0.3">
      <c r="A5" s="4" t="s">
        <v>224</v>
      </c>
      <c r="B5" s="4">
        <v>200</v>
      </c>
      <c r="C5" s="4">
        <v>242</v>
      </c>
      <c r="D5" s="12">
        <v>5929000</v>
      </c>
      <c r="E5" s="14"/>
    </row>
    <row r="6" spans="1:5" x14ac:dyDescent="0.3">
      <c r="A6" s="4" t="s">
        <v>225</v>
      </c>
      <c r="B6" s="4">
        <v>250</v>
      </c>
      <c r="C6" s="4">
        <v>219</v>
      </c>
      <c r="D6" s="12">
        <v>4380000</v>
      </c>
      <c r="E6" s="14"/>
    </row>
    <row r="7" spans="1:5" x14ac:dyDescent="0.3">
      <c r="A7" s="4" t="s">
        <v>226</v>
      </c>
      <c r="B7" s="4">
        <v>200</v>
      </c>
      <c r="C7" s="4">
        <v>258</v>
      </c>
      <c r="D7" s="12">
        <v>4257000</v>
      </c>
      <c r="E7" s="14"/>
    </row>
    <row r="8" spans="1:5" x14ac:dyDescent="0.3">
      <c r="A8" s="4" t="s">
        <v>227</v>
      </c>
      <c r="B8" s="4">
        <v>250</v>
      </c>
      <c r="C8" s="4">
        <v>221</v>
      </c>
      <c r="D8" s="12">
        <v>3425500</v>
      </c>
      <c r="E8" s="14"/>
    </row>
    <row r="9" spans="1:5" x14ac:dyDescent="0.3">
      <c r="A9" s="4" t="s">
        <v>228</v>
      </c>
      <c r="B9" s="4">
        <v>150</v>
      </c>
      <c r="C9" s="4">
        <v>126</v>
      </c>
      <c r="D9" s="12">
        <v>2205000</v>
      </c>
      <c r="E9" s="14"/>
    </row>
    <row r="10" spans="1:5" x14ac:dyDescent="0.3">
      <c r="A10" s="4" t="s">
        <v>229</v>
      </c>
      <c r="B10" s="4">
        <v>300</v>
      </c>
      <c r="C10" s="4">
        <v>335</v>
      </c>
      <c r="D10" s="12">
        <v>7370000</v>
      </c>
      <c r="E10" s="14"/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B35" sqref="B35"/>
    </sheetView>
  </sheetViews>
  <sheetFormatPr defaultRowHeight="16.5" x14ac:dyDescent="0.3"/>
  <sheetData>
    <row r="1" spans="1:7" ht="20.25" x14ac:dyDescent="0.3">
      <c r="A1" s="18" t="s">
        <v>243</v>
      </c>
      <c r="B1" s="18"/>
      <c r="C1" s="18"/>
      <c r="D1" s="18"/>
      <c r="E1" s="18"/>
      <c r="F1" s="18"/>
      <c r="G1" s="18"/>
    </row>
    <row r="3" spans="1:7" x14ac:dyDescent="0.3">
      <c r="A3" s="4" t="s">
        <v>236</v>
      </c>
      <c r="B3" s="4" t="s">
        <v>231</v>
      </c>
      <c r="C3" s="4" t="s">
        <v>232</v>
      </c>
      <c r="D3" s="4" t="s">
        <v>233</v>
      </c>
      <c r="E3" s="4" t="s">
        <v>234</v>
      </c>
      <c r="F3" s="4" t="s">
        <v>235</v>
      </c>
      <c r="G3" s="4" t="s">
        <v>239</v>
      </c>
    </row>
    <row r="4" spans="1:7" x14ac:dyDescent="0.3">
      <c r="A4" s="4" t="s">
        <v>237</v>
      </c>
      <c r="B4" s="16">
        <v>215</v>
      </c>
      <c r="C4" s="16">
        <v>223</v>
      </c>
      <c r="D4" s="16">
        <v>118</v>
      </c>
      <c r="E4" s="16">
        <v>368</v>
      </c>
      <c r="F4" s="16">
        <v>173</v>
      </c>
      <c r="G4" s="16">
        <f>AVERAGE(B4:F4)</f>
        <v>219.4</v>
      </c>
    </row>
    <row r="5" spans="1:7" x14ac:dyDescent="0.3">
      <c r="A5" s="4" t="s">
        <v>240</v>
      </c>
      <c r="B5" s="16">
        <v>599</v>
      </c>
      <c r="C5" s="16">
        <v>387</v>
      </c>
      <c r="D5" s="16">
        <v>609</v>
      </c>
      <c r="E5" s="16">
        <v>586</v>
      </c>
      <c r="F5" s="16">
        <v>493</v>
      </c>
      <c r="G5" s="16">
        <f t="shared" ref="G5:G7" si="0">AVERAGE(B5:F5)</f>
        <v>534.79999999999995</v>
      </c>
    </row>
    <row r="6" spans="1:7" x14ac:dyDescent="0.3">
      <c r="A6" s="4" t="s">
        <v>241</v>
      </c>
      <c r="B6" s="16">
        <v>293</v>
      </c>
      <c r="C6" s="16">
        <v>247</v>
      </c>
      <c r="D6" s="16">
        <v>172</v>
      </c>
      <c r="E6" s="16">
        <v>351</v>
      </c>
      <c r="F6" s="16">
        <v>448</v>
      </c>
      <c r="G6" s="16">
        <f t="shared" si="0"/>
        <v>302.2</v>
      </c>
    </row>
    <row r="7" spans="1:7" x14ac:dyDescent="0.3">
      <c r="A7" s="4" t="s">
        <v>238</v>
      </c>
      <c r="B7" s="16">
        <v>121</v>
      </c>
      <c r="C7" s="16">
        <v>104</v>
      </c>
      <c r="D7" s="16">
        <v>119</v>
      </c>
      <c r="E7" s="16">
        <v>132</v>
      </c>
      <c r="F7" s="16">
        <v>168</v>
      </c>
      <c r="G7" s="16">
        <f t="shared" si="0"/>
        <v>128.80000000000001</v>
      </c>
    </row>
    <row r="8" spans="1:7" x14ac:dyDescent="0.3">
      <c r="A8" s="4" t="s">
        <v>242</v>
      </c>
      <c r="B8" s="16">
        <f>AVERAGE(B4:B7)</f>
        <v>307</v>
      </c>
      <c r="C8" s="16">
        <f t="shared" ref="C8:G8" si="1">AVERAGE(C4:C7)</f>
        <v>240.25</v>
      </c>
      <c r="D8" s="16">
        <f t="shared" si="1"/>
        <v>254.5</v>
      </c>
      <c r="E8" s="16">
        <f t="shared" si="1"/>
        <v>359.25</v>
      </c>
      <c r="F8" s="16">
        <f t="shared" si="1"/>
        <v>320.5</v>
      </c>
      <c r="G8" s="16">
        <f t="shared" si="1"/>
        <v>296.29999999999995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사용자</cp:lastModifiedBy>
  <dcterms:created xsi:type="dcterms:W3CDTF">2021-03-08T05:03:26Z</dcterms:created>
  <dcterms:modified xsi:type="dcterms:W3CDTF">2022-10-21T06:23:49Z</dcterms:modified>
</cp:coreProperties>
</file>