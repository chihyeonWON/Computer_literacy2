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1.xml" ContentType="application/vnd.ms-excel.controlproperties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8D530D89-EC94-4FF5-9F20-2FD2C7563B36}" xr6:coauthVersionLast="47" xr6:coauthVersionMax="47" xr10:uidLastSave="{00000000-0000-0000-0000-000000000000}"/>
  <bookViews>
    <workbookView xWindow="-108" yWindow="-108" windowWidth="23256" windowHeight="13176" firstSheet="2" activeTab="7" xr2:uid="{00000000-000D-0000-FFFF-FFFF00000000}"/>
  </bookViews>
  <sheets>
    <sheet name="기본작업-1" sheetId="1" r:id="rId1"/>
    <sheet name="기본작업-2" sheetId="2" r:id="rId2"/>
    <sheet name="계산작업" sheetId="10" r:id="rId3"/>
    <sheet name="대형평수경비내역" sheetId="12" r:id="rId4"/>
    <sheet name="분석작업-1" sheetId="4" r:id="rId5"/>
    <sheet name="분석작업-2" sheetId="5" r:id="rId6"/>
    <sheet name="기타작업-1" sheetId="7" r:id="rId7"/>
    <sheet name="기타작업-2" sheetId="6" r:id="rId8"/>
    <sheet name="기타작업-3" sheetId="8" r:id="rId9"/>
  </sheets>
  <functionGroups builtInGroupCount="19"/>
  <definedNames>
    <definedName name="_xlnm._FilterDatabase" localSheetId="0" hidden="1">'기본작업-1'!$A$2:$G$24</definedName>
    <definedName name="_xlnm.Criteria" localSheetId="0">'기본작업-1'!$I$2:$I$3</definedName>
    <definedName name="_xlnm.Extract" localSheetId="0">'기본작업-1'!$I$5:$L$5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0" l="1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3" i="10"/>
  <c r="E28" i="10" a="1"/>
  <c r="E28" i="10" s="1"/>
  <c r="E29" i="10" a="1"/>
  <c r="E29" i="10" s="1"/>
  <c r="E30" i="10" a="1"/>
  <c r="E30" i="10" s="1"/>
  <c r="E31" i="10" a="1"/>
  <c r="E31" i="10" s="1"/>
  <c r="D29" i="10" a="1"/>
  <c r="D29" i="10" s="1"/>
  <c r="D30" i="10" a="1"/>
  <c r="D30" i="10" s="1"/>
  <c r="D31" i="10" a="1"/>
  <c r="D31" i="10" s="1"/>
  <c r="D28" i="10" a="1"/>
  <c r="D28" i="10" s="1"/>
  <c r="B29" i="10" a="1"/>
  <c r="B29" i="10" s="1"/>
  <c r="B30" i="10" a="1"/>
  <c r="B30" i="10" s="1"/>
  <c r="B31" i="10" a="1"/>
  <c r="B31" i="10" s="1"/>
  <c r="B28" i="10" a="1"/>
  <c r="B28" i="10" s="1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3" i="10"/>
  <c r="E22" i="5"/>
  <c r="E15" i="5"/>
  <c r="E8" i="5"/>
  <c r="E24" i="5" s="1"/>
  <c r="E23" i="5"/>
  <c r="E16" i="5"/>
  <c r="E9" i="5"/>
  <c r="E25" i="5" s="1"/>
  <c r="I3" i="1"/>
  <c r="F4" i="7"/>
  <c r="F5" i="7"/>
  <c r="F6" i="7"/>
  <c r="F7" i="7"/>
  <c r="F3" i="7"/>
  <c r="I4" i="10" a="1"/>
  <c r="I8" i="10" a="1"/>
  <c r="I12" i="10" a="1"/>
  <c r="I16" i="10" a="1"/>
  <c r="I20" i="10" a="1"/>
  <c r="I24" i="10" a="1"/>
  <c r="I22" i="10" a="1"/>
  <c r="I11" i="10" a="1"/>
  <c r="I23" i="10" a="1"/>
  <c r="I5" i="10" a="1"/>
  <c r="I13" i="10" a="1"/>
  <c r="I21" i="10" a="1"/>
  <c r="I10" i="10" a="1"/>
  <c r="I9" i="10" a="1"/>
  <c r="I17" i="10" a="1"/>
  <c r="I14" i="10" a="1"/>
  <c r="I18" i="10" a="1"/>
  <c r="I7" i="10" a="1"/>
  <c r="I19" i="10" a="1"/>
  <c r="I6" i="10" a="1"/>
  <c r="I3" i="10" a="1"/>
  <c r="I15" i="10" a="1"/>
  <c r="I15" i="10" l="1"/>
  <c r="I6" i="10"/>
  <c r="I19" i="10"/>
  <c r="I7" i="10"/>
  <c r="I18" i="10"/>
  <c r="I14" i="10"/>
  <c r="I17" i="10"/>
  <c r="I9" i="10"/>
  <c r="I10" i="10"/>
  <c r="I21" i="10"/>
  <c r="I13" i="10"/>
  <c r="I5" i="10"/>
  <c r="I23" i="10"/>
  <c r="I11" i="10"/>
  <c r="I22" i="10"/>
  <c r="I24" i="10"/>
  <c r="I20" i="10"/>
  <c r="I16" i="10"/>
  <c r="I12" i="10"/>
  <c r="I8" i="10"/>
  <c r="I4" i="10"/>
  <c r="I3" i="10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T:\07 원고용 자료\메일링작업\기출문제풀이\시험응시관련자료\시험응시분석\컴활실기상설문제\1급\엑셀\아파트경비.accdb;DefaultDir=T:\07 원고용 자료\메일링작업\기출문제풀이\시험응시관련자료\시험응시분석\컴활실기상설문제\1급\엑셀;DriverId=25;FIL=MS Access;MaxBufferSize=2048;PageTimeout=5;" command="SELECT `1월`.동, `1월`.호, `1월`.면적, `1월`.도시가스비, `1월`.전기세, `1월`.수도세_x000d__x000a_FROM `1월` `1월`"/>
  </connection>
  <connection id="2" xr16:uid="{534F98C9-B0A8-4241-98F3-23E9570598E2}" name="MS Access Database_Query1" type="1" refreshedVersion="8" background="1">
    <dbPr connection="DSN=MS Access Database;DBQ=C:\OA\아파트경비.accdb;DefaultDir=C:\OA;DriverId=25;FIL=MS Access;MaxBufferSize=2048;PageTimeout=5;" command="SELECT `1월`.동, `1월`.호, `1월`.면적, `1월`.도시가스비, `1월`.전기세, `1월`.수도세_x000d__x000a_FROM `C:\OA\아파트경비.accdb`.`1월` `1월`"/>
  </connection>
  <connection id="3" xr16:uid="{00000000-0015-0000-FFFF-FFFF01000000}" sourceFile="T:\07 원고용 자료\메일링작업\기출문제풀이\시험응시관련자료\시험응시분석\컴활실기상설문제\1급\엑셀\아파트경비.accdb" keepAlive="1" name="아파트경비" type="5" refreshedVersion="6">
    <dbPr connection="Provider=Microsoft.ACE.OLEDB.12.0;User ID=Admin;Data Source=T:\07 원고용 자료\메일링작업\기출문제풀이\시험응시관련자료\시험응시분석\컴활실기상설문제\1급\엑셀\아파트경비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1월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<sst xmlns="http://schemas.openxmlformats.org/spreadsheetml/2006/main" count="302" uniqueCount="96">
  <si>
    <t>[표1]</t>
    <phoneticPr fontId="1" type="noConversion"/>
  </si>
  <si>
    <t>지역</t>
    <phoneticPr fontId="1" type="noConversion"/>
  </si>
  <si>
    <t>포지션</t>
    <phoneticPr fontId="1" type="noConversion"/>
  </si>
  <si>
    <t>투수</t>
    <phoneticPr fontId="1" type="noConversion"/>
  </si>
  <si>
    <t>타자</t>
    <phoneticPr fontId="1" type="noConversion"/>
  </si>
  <si>
    <t>내야수</t>
    <phoneticPr fontId="1" type="noConversion"/>
  </si>
  <si>
    <t>외야수</t>
    <phoneticPr fontId="1" type="noConversion"/>
  </si>
  <si>
    <t>타자</t>
    <phoneticPr fontId="1" type="noConversion"/>
  </si>
  <si>
    <t>서울1</t>
    <phoneticPr fontId="1" type="noConversion"/>
  </si>
  <si>
    <t>서울2</t>
    <phoneticPr fontId="1" type="noConversion"/>
  </si>
  <si>
    <t>서울2</t>
    <phoneticPr fontId="1" type="noConversion"/>
  </si>
  <si>
    <t>인천</t>
    <phoneticPr fontId="1" type="noConversion"/>
  </si>
  <si>
    <t>인천</t>
    <phoneticPr fontId="1" type="noConversion"/>
  </si>
  <si>
    <t>안양</t>
    <phoneticPr fontId="1" type="noConversion"/>
  </si>
  <si>
    <t>안양</t>
    <phoneticPr fontId="1" type="noConversion"/>
  </si>
  <si>
    <t>수원</t>
    <phoneticPr fontId="1" type="noConversion"/>
  </si>
  <si>
    <t>인천</t>
    <phoneticPr fontId="1" type="noConversion"/>
  </si>
  <si>
    <t>수원</t>
    <phoneticPr fontId="1" type="noConversion"/>
  </si>
  <si>
    <t>안양</t>
    <phoneticPr fontId="1" type="noConversion"/>
  </si>
  <si>
    <t>실적</t>
    <phoneticPr fontId="1" type="noConversion"/>
  </si>
  <si>
    <t>연봉</t>
    <phoneticPr fontId="1" type="noConversion"/>
  </si>
  <si>
    <t>계약시작일</t>
    <phoneticPr fontId="1" type="noConversion"/>
  </si>
  <si>
    <t>계약종료일</t>
    <phoneticPr fontId="1" type="noConversion"/>
  </si>
  <si>
    <t>총수입</t>
    <phoneticPr fontId="1" type="noConversion"/>
  </si>
  <si>
    <t>인상된연봉</t>
    <phoneticPr fontId="1" type="noConversion"/>
  </si>
  <si>
    <t>연소득</t>
    <phoneticPr fontId="1" type="noConversion"/>
  </si>
  <si>
    <t>방어율</t>
    <phoneticPr fontId="1" type="noConversion"/>
  </si>
  <si>
    <t>타율</t>
    <phoneticPr fontId="1" type="noConversion"/>
  </si>
  <si>
    <t>투수</t>
    <phoneticPr fontId="1" type="noConversion"/>
  </si>
  <si>
    <t>기타포지션</t>
    <phoneticPr fontId="1" type="noConversion"/>
  </si>
  <si>
    <t>[표2]</t>
    <phoneticPr fontId="1" type="noConversion"/>
  </si>
  <si>
    <t>서울지역제외</t>
    <phoneticPr fontId="1" type="noConversion"/>
  </si>
  <si>
    <t>[표3]</t>
    <phoneticPr fontId="1" type="noConversion"/>
  </si>
  <si>
    <t>연봉</t>
    <phoneticPr fontId="1" type="noConversion"/>
  </si>
  <si>
    <t>[표4]</t>
    <phoneticPr fontId="1" type="noConversion"/>
  </si>
  <si>
    <t>서울1</t>
    <phoneticPr fontId="1" type="noConversion"/>
  </si>
  <si>
    <t>월급</t>
    <phoneticPr fontId="1" type="noConversion"/>
  </si>
  <si>
    <t>동</t>
    <phoneticPr fontId="1" type="noConversion"/>
  </si>
  <si>
    <t>호</t>
    <phoneticPr fontId="1" type="noConversion"/>
  </si>
  <si>
    <t>면적</t>
    <phoneticPr fontId="1" type="noConversion"/>
  </si>
  <si>
    <t>도시가스비</t>
    <phoneticPr fontId="1" type="noConversion"/>
  </si>
  <si>
    <t>전기세</t>
    <phoneticPr fontId="1" type="noConversion"/>
  </si>
  <si>
    <t>수도세</t>
    <phoneticPr fontId="1" type="noConversion"/>
  </si>
  <si>
    <t>종류</t>
    <phoneticPr fontId="1" type="noConversion"/>
  </si>
  <si>
    <t>패키지관광</t>
    <phoneticPr fontId="1" type="noConversion"/>
  </si>
  <si>
    <t>효도관광</t>
    <phoneticPr fontId="1" type="noConversion"/>
  </si>
  <si>
    <t>자유여행</t>
    <phoneticPr fontId="1" type="noConversion"/>
  </si>
  <si>
    <t>가족여행</t>
    <phoneticPr fontId="1" type="noConversion"/>
  </si>
  <si>
    <t>모임여행</t>
    <phoneticPr fontId="1" type="noConversion"/>
  </si>
  <si>
    <t>숙박비</t>
    <phoneticPr fontId="1" type="noConversion"/>
  </si>
  <si>
    <t>교통비</t>
    <phoneticPr fontId="1" type="noConversion"/>
  </si>
  <si>
    <t>기간</t>
    <phoneticPr fontId="1" type="noConversion"/>
  </si>
  <si>
    <t>식비</t>
    <phoneticPr fontId="1" type="noConversion"/>
  </si>
  <si>
    <t>식비비율</t>
    <phoneticPr fontId="1" type="noConversion"/>
  </si>
  <si>
    <t>1박2일</t>
    <phoneticPr fontId="1" type="noConversion"/>
  </si>
  <si>
    <t>3박4일</t>
    <phoneticPr fontId="1" type="noConversion"/>
  </si>
  <si>
    <t>2박3일</t>
    <phoneticPr fontId="1" type="noConversion"/>
  </si>
  <si>
    <t>6박7일</t>
    <phoneticPr fontId="1" type="noConversion"/>
  </si>
  <si>
    <t>4박5일</t>
    <phoneticPr fontId="1" type="noConversion"/>
  </si>
  <si>
    <t>금액</t>
    <phoneticPr fontId="1" type="noConversion"/>
  </si>
  <si>
    <t>부가세</t>
    <phoneticPr fontId="1" type="noConversion"/>
  </si>
  <si>
    <t>인상률</t>
    <phoneticPr fontId="1" type="noConversion"/>
  </si>
  <si>
    <t>인상률</t>
    <phoneticPr fontId="1" type="noConversion"/>
  </si>
  <si>
    <t>종류</t>
    <phoneticPr fontId="1" type="noConversion"/>
  </si>
  <si>
    <t>담당자</t>
    <phoneticPr fontId="1" type="noConversion"/>
  </si>
  <si>
    <t xml:space="preserve">날짜 : </t>
    <phoneticPr fontId="1" type="noConversion"/>
  </si>
  <si>
    <t>효도관광</t>
  </si>
  <si>
    <t>자유여행</t>
  </si>
  <si>
    <t>홍길동</t>
  </si>
  <si>
    <t>1박/2일</t>
  </si>
  <si>
    <t>장길산</t>
  </si>
  <si>
    <t>2박/3일</t>
  </si>
  <si>
    <t>연봉</t>
    <phoneticPr fontId="1" type="noConversion"/>
  </si>
  <si>
    <t>[표1]</t>
    <phoneticPr fontId="1" type="noConversion"/>
  </si>
  <si>
    <t>조건</t>
    <phoneticPr fontId="1" type="noConversion"/>
  </si>
  <si>
    <t>호</t>
  </si>
  <si>
    <t>(모두)</t>
  </si>
  <si>
    <t>총합계</t>
  </si>
  <si>
    <t>합계 : 도시가스비</t>
  </si>
  <si>
    <t>전체 합계 : 도시가스비</t>
  </si>
  <si>
    <t>전체 합계 : 경비</t>
  </si>
  <si>
    <t>합계 : 경비</t>
  </si>
  <si>
    <t>동</t>
  </si>
  <si>
    <t>면적</t>
  </si>
  <si>
    <t>값</t>
  </si>
  <si>
    <t>도시가스비</t>
  </si>
  <si>
    <t>전기세</t>
  </si>
  <si>
    <t>수도세</t>
  </si>
  <si>
    <t>78 평균</t>
  </si>
  <si>
    <t>86 평균</t>
  </si>
  <si>
    <t>108 평균</t>
  </si>
  <si>
    <t>전체 평균</t>
  </si>
  <si>
    <t>78 최대</t>
  </si>
  <si>
    <t>86 최대</t>
  </si>
  <si>
    <t>108 최대</t>
  </si>
  <si>
    <t>전체 최대값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</si>
</sst>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[Red][&gt;=0.2]&quot;★&quot;0%;[Blue][&lt;=0.15]&quot;☆&quot;0%;0%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14" fontId="0" fillId="0" borderId="1" xfId="0" applyNumberForma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1" fontId="4" fillId="0" borderId="1" xfId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>
      <alignment vertical="center"/>
    </xf>
    <xf numFmtId="0" fontId="0" fillId="0" borderId="0" xfId="0" applyAlignment="1">
      <alignment horizontal="right" vertical="center"/>
    </xf>
    <xf numFmtId="14" fontId="5" fillId="0" borderId="0" xfId="0" applyNumberFormat="1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9" fontId="0" fillId="3" borderId="1" xfId="0" applyNumberFormat="1" applyFill="1" applyBorder="1">
      <alignment vertical="center"/>
    </xf>
    <xf numFmtId="0" fontId="3" fillId="0" borderId="2" xfId="0" applyFont="1" applyBorder="1" applyAlignment="1">
      <alignment horizontal="center" vertical="center"/>
    </xf>
    <xf numFmtId="41" fontId="4" fillId="0" borderId="1" xfId="1" applyFont="1" applyFill="1" applyBorder="1" applyAlignment="1" applyProtection="1">
      <alignment horizontal="center" vertical="center"/>
      <protection hidden="1"/>
    </xf>
    <xf numFmtId="0" fontId="0" fillId="0" borderId="0" xfId="0" pivotButton="1">
      <alignment vertical="center"/>
    </xf>
    <xf numFmtId="0" fontId="3" fillId="0" borderId="0" xfId="0" applyFont="1" applyAlignment="1">
      <alignment horizontal="center" vertical="center"/>
    </xf>
    <xf numFmtId="176" fontId="0" fillId="0" borderId="1" xfId="2" applyNumberFormat="1" applyFont="1" applyBorder="1">
      <alignment vertical="center"/>
    </xf>
    <xf numFmtId="0" fontId="0" fillId="3" borderId="1" xfId="0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defRPr>
            </a:pPr>
            <a:r>
              <a:rPr lang="ko-KR"/>
              <a:t>식비 지출 내역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HY중고딕" panose="02030600000101010101" pitchFamily="18" charset="-127"/>
              <a:ea typeface="HY중고딕" panose="02030600000101010101" pitchFamily="18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'기타작업-1'!$E$2</c:f>
              <c:strCache>
                <c:ptCount val="1"/>
                <c:pt idx="0">
                  <c:v>식비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HY중고딕" panose="02030600000101010101" pitchFamily="18" charset="-127"/>
                      <a:ea typeface="HY중고딕" panose="02030600000101010101" pitchFamily="18" charset="-127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F9B7-4683-9E3A-790F07CF1BFD}"/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HY중고딕" panose="02030600000101010101" pitchFamily="18" charset="-127"/>
                      <a:ea typeface="HY중고딕" panose="02030600000101010101" pitchFamily="18" charset="-127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F9B7-4683-9E3A-790F07CF1B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Y중고딕" panose="02030600000101010101" pitchFamily="18" charset="-127"/>
                    <a:ea typeface="HY중고딕" panose="02030600000101010101" pitchFamily="18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('기타작업-1'!$B$3,'기타작업-1'!$B$5:$B$7)</c:f>
              <c:strCache>
                <c:ptCount val="4"/>
                <c:pt idx="0">
                  <c:v>효도관광</c:v>
                </c:pt>
                <c:pt idx="1">
                  <c:v>자유여행</c:v>
                </c:pt>
                <c:pt idx="2">
                  <c:v>모임여행</c:v>
                </c:pt>
                <c:pt idx="3">
                  <c:v>가족여행</c:v>
                </c:pt>
              </c:strCache>
            </c:strRef>
          </c:cat>
          <c:val>
            <c:numRef>
              <c:f>('기타작업-1'!$E$3,'기타작업-1'!$E$5:$E$7)</c:f>
              <c:numCache>
                <c:formatCode>_(* #,##0_);_(* \(#,##0\);_(* "-"_);_(@_)</c:formatCode>
                <c:ptCount val="4"/>
                <c:pt idx="0">
                  <c:v>520250</c:v>
                </c:pt>
                <c:pt idx="1">
                  <c:v>194950</c:v>
                </c:pt>
                <c:pt idx="2">
                  <c:v>540000</c:v>
                </c:pt>
                <c:pt idx="3">
                  <c:v>320000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A2-4A53-A116-47D0B5DAB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1803072"/>
        <c:axId val="890222192"/>
      </c:barChart>
      <c:lineChart>
        <c:grouping val="standard"/>
        <c:varyColors val="0"/>
        <c:ser>
          <c:idx val="2"/>
          <c:order val="1"/>
          <c:tx>
            <c:strRef>
              <c:f>'기타작업-1'!$F$2</c:f>
              <c:strCache>
                <c:ptCount val="1"/>
                <c:pt idx="0">
                  <c:v>식비비율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('기타작업-1'!$B$3,'기타작업-1'!$B$5:$B$7)</c:f>
              <c:strCache>
                <c:ptCount val="4"/>
                <c:pt idx="0">
                  <c:v>효도관광</c:v>
                </c:pt>
                <c:pt idx="1">
                  <c:v>자유여행</c:v>
                </c:pt>
                <c:pt idx="2">
                  <c:v>모임여행</c:v>
                </c:pt>
                <c:pt idx="3">
                  <c:v>가족여행</c:v>
                </c:pt>
              </c:strCache>
            </c:strRef>
          </c:cat>
          <c:val>
            <c:numRef>
              <c:f>('기타작업-1'!$F$3,'기타작업-1'!$F$5:$F$7)</c:f>
              <c:numCache>
                <c:formatCode>0%</c:formatCode>
                <c:ptCount val="4"/>
                <c:pt idx="0">
                  <c:v>0.30526624614933257</c:v>
                </c:pt>
                <c:pt idx="1">
                  <c:v>0.31961636199688498</c:v>
                </c:pt>
                <c:pt idx="2">
                  <c:v>0.37578288100208768</c:v>
                </c:pt>
                <c:pt idx="3">
                  <c:v>0.24615384615384617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B7-4683-9E3A-790F07CF1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029151"/>
        <c:axId val="310027231"/>
      </c:lineChart>
      <c:catAx>
        <c:axId val="85180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defRPr>
            </a:pPr>
            <a:endParaRPr lang="ko-KR"/>
          </a:p>
        </c:txPr>
        <c:crossAx val="890222192"/>
        <c:crosses val="autoZero"/>
        <c:auto val="1"/>
        <c:lblAlgn val="ctr"/>
        <c:lblOffset val="100"/>
        <c:noMultiLvlLbl val="0"/>
      </c:catAx>
      <c:valAx>
        <c:axId val="89022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defRPr>
            </a:pPr>
            <a:endParaRPr lang="ko-KR"/>
          </a:p>
        </c:txPr>
        <c:crossAx val="851803072"/>
        <c:crosses val="autoZero"/>
        <c:crossBetween val="between"/>
        <c:dispUnits>
          <c:builtInUnit val="ten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Y중고딕" panose="02030600000101010101" pitchFamily="18" charset="-127"/>
                    <a:ea typeface="HY중고딕" panose="02030600000101010101" pitchFamily="18" charset="-127"/>
                    <a:cs typeface="+mn-cs"/>
                  </a:defRPr>
                </a:pPr>
                <a:endParaRPr lang="ko-KR"/>
              </a:p>
            </c:txPr>
          </c:dispUnitsLbl>
        </c:dispUnits>
      </c:valAx>
      <c:valAx>
        <c:axId val="310027231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defRPr>
            </a:pPr>
            <a:endParaRPr lang="ko-KR"/>
          </a:p>
        </c:txPr>
        <c:crossAx val="310029151"/>
        <c:crosses val="max"/>
        <c:crossBetween val="between"/>
      </c:valAx>
      <c:catAx>
        <c:axId val="310029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0027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HY중고딕" panose="02030600000101010101" pitchFamily="18" charset="-127"/>
              <a:ea typeface="HY중고딕" panose="02030600000101010101" pitchFamily="18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2">
          <a:satMod val="175000"/>
          <a:alpha val="40000"/>
        </a:schemeClr>
      </a:glow>
    </a:effectLst>
  </c:spPr>
  <c:txPr>
    <a:bodyPr/>
    <a:lstStyle/>
    <a:p>
      <a:pPr>
        <a:defRPr>
          <a:latin typeface="HY중고딕" panose="02030600000101010101" pitchFamily="18" charset="-127"/>
          <a:ea typeface="HY중고딕" panose="02030600000101010101" pitchFamily="18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142875</xdr:colOff>
      <xdr:row>1</xdr:row>
      <xdr:rowOff>76200</xdr:rowOff>
    </xdr:from>
    <xdr:to>
      <xdr:col>18</xdr:col>
      <xdr:colOff>532494</xdr:colOff>
      <xdr:row>6</xdr:row>
      <xdr:rowOff>104640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0" y="285750"/>
          <a:ext cx="7247619" cy="10761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104775</xdr:colOff>
      <xdr:row>1</xdr:row>
      <xdr:rowOff>38100</xdr:rowOff>
    </xdr:from>
    <xdr:to>
      <xdr:col>21</xdr:col>
      <xdr:colOff>370499</xdr:colOff>
      <xdr:row>37</xdr:row>
      <xdr:rowOff>84776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247650"/>
          <a:ext cx="7809524" cy="7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114300</xdr:colOff>
      <xdr:row>0</xdr:row>
      <xdr:rowOff>95250</xdr:rowOff>
    </xdr:from>
    <xdr:to>
      <xdr:col>18</xdr:col>
      <xdr:colOff>313338</xdr:colOff>
      <xdr:row>31</xdr:row>
      <xdr:rowOff>46819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9800" y="95250"/>
          <a:ext cx="7895238" cy="644761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190500</xdr:colOff>
      <xdr:row>1</xdr:row>
      <xdr:rowOff>95250</xdr:rowOff>
    </xdr:from>
    <xdr:to>
      <xdr:col>19</xdr:col>
      <xdr:colOff>494319</xdr:colOff>
      <xdr:row>19</xdr:row>
      <xdr:rowOff>170969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29275" y="304800"/>
          <a:ext cx="7847619" cy="38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142875</xdr:colOff>
      <xdr:row>0</xdr:row>
      <xdr:rowOff>76200</xdr:rowOff>
    </xdr:from>
    <xdr:to>
      <xdr:col>20</xdr:col>
      <xdr:colOff>465742</xdr:colOff>
      <xdr:row>28</xdr:row>
      <xdr:rowOff>75467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96075" y="76200"/>
          <a:ext cx="7866667" cy="58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371475</xdr:colOff>
      <xdr:row>1</xdr:row>
      <xdr:rowOff>9525</xdr:rowOff>
    </xdr:from>
    <xdr:to>
      <xdr:col>21</xdr:col>
      <xdr:colOff>160933</xdr:colOff>
      <xdr:row>14</xdr:row>
      <xdr:rowOff>66327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9325" y="219075"/>
          <a:ext cx="7933333" cy="27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30480</xdr:colOff>
          <xdr:row>2</xdr:row>
          <xdr:rowOff>198120</xdr:rowOff>
        </xdr:to>
        <xdr:sp macro="" textlink="">
          <xdr:nvSpPr>
            <xdr:cNvPr id="9217" name="cmd여행등록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142876</xdr:colOff>
      <xdr:row>0</xdr:row>
      <xdr:rowOff>44460</xdr:rowOff>
    </xdr:from>
    <xdr:to>
      <xdr:col>21</xdr:col>
      <xdr:colOff>66676</xdr:colOff>
      <xdr:row>36</xdr:row>
      <xdr:rowOff>27545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1" y="44460"/>
          <a:ext cx="8153400" cy="752688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lose" refreshedDate="45156.844233912037" backgroundQuery="1" createdVersion="8" refreshedVersion="8" minRefreshableVersion="3" recordCount="21" xr:uid="{DBF9119C-FC80-497B-A4F3-671D357D160F}">
  <cacheSource type="external" connectionId="2"/>
  <cacheFields count="7">
    <cacheField name="동" numFmtId="0" sqlType="4">
      <sharedItems containsSemiMixedTypes="0" containsString="0" containsNumber="1" containsInteger="1" minValue="101" maxValue="104" count="4">
        <n v="103"/>
        <n v="102"/>
        <n v="104"/>
        <n v="101"/>
      </sharedItems>
    </cacheField>
    <cacheField name="호" numFmtId="0" sqlType="4">
      <sharedItems containsSemiMixedTypes="0" containsString="0" containsNumber="1" containsInteger="1" minValue="101" maxValue="701" count="10">
        <n v="501"/>
        <n v="201"/>
        <n v="102"/>
        <n v="701"/>
        <n v="402"/>
        <n v="202"/>
        <n v="302"/>
        <n v="301"/>
        <n v="602"/>
        <n v="101"/>
      </sharedItems>
    </cacheField>
    <cacheField name="면적" numFmtId="0" sqlType="4">
      <sharedItems containsSemiMixedTypes="0" containsString="0" containsNumber="1" containsInteger="1" minValue="78" maxValue="142" count="4">
        <n v="108"/>
        <n v="86"/>
        <n v="142"/>
        <n v="78"/>
      </sharedItems>
    </cacheField>
    <cacheField name="도시가스비" numFmtId="0" sqlType="2">
      <sharedItems containsSemiMixedTypes="0" containsString="0" containsNumber="1" containsInteger="1" minValue="15240" maxValue="559020" count="21">
        <n v="243050"/>
        <n v="135030"/>
        <n v="154790"/>
        <n v="125440"/>
        <n v="49230"/>
        <n v="103190"/>
        <n v="88620"/>
        <n v="15240"/>
        <n v="20140"/>
        <n v="177240"/>
        <n v="40280"/>
        <n v="559020"/>
        <n v="25910"/>
        <n v="49140"/>
        <n v="225790"/>
        <n v="54010"/>
        <n v="73850"/>
        <n v="340540"/>
        <n v="35140"/>
        <n v="73790"/>
        <n v="23400"/>
      </sharedItems>
    </cacheField>
    <cacheField name="전기세" numFmtId="0" sqlType="2">
      <sharedItems containsSemiMixedTypes="0" containsString="0" containsNumber="1" containsInteger="1" minValue="8670" maxValue="72020" count="21">
        <n v="43050"/>
        <n v="72020"/>
        <n v="21850"/>
        <n v="24460"/>
        <n v="18990"/>
        <n v="53040"/>
        <n v="34170"/>
        <n v="14790"/>
        <n v="31030"/>
        <n v="55780"/>
        <n v="28930"/>
        <n v="52880"/>
        <n v="53930"/>
        <n v="32240"/>
        <n v="44350"/>
        <n v="8670"/>
        <n v="65660"/>
        <n v="11390"/>
        <n v="59130"/>
        <n v="43020"/>
        <n v="34900"/>
      </sharedItems>
    </cacheField>
    <cacheField name="수도세" numFmtId="0" sqlType="2">
      <sharedItems containsSemiMixedTypes="0" containsString="0" containsNumber="1" containsInteger="1" minValue="5780" maxValue="27360" count="21">
        <n v="24390"/>
        <n v="6930"/>
        <n v="17470"/>
        <n v="7770"/>
        <n v="25220"/>
        <n v="16890"/>
        <n v="14100"/>
        <n v="5780"/>
        <n v="22460"/>
        <n v="21680"/>
        <n v="9230"/>
        <n v="6820"/>
        <n v="21060"/>
        <n v="15960"/>
        <n v="6650"/>
        <n v="24680"/>
        <n v="6300"/>
        <n v="25750"/>
        <n v="12810"/>
        <n v="12110"/>
        <n v="27360"/>
      </sharedItems>
    </cacheField>
    <cacheField name="경비" numFmtId="0" formula="SUM(도시가스비,전기세,수도세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x v="0"/>
    <x v="0"/>
    <x v="0"/>
    <x v="0"/>
    <x v="0"/>
  </r>
  <r>
    <x v="1"/>
    <x v="0"/>
    <x v="1"/>
    <x v="1"/>
    <x v="1"/>
    <x v="1"/>
  </r>
  <r>
    <x v="2"/>
    <x v="0"/>
    <x v="2"/>
    <x v="2"/>
    <x v="2"/>
    <x v="2"/>
  </r>
  <r>
    <x v="0"/>
    <x v="1"/>
    <x v="0"/>
    <x v="3"/>
    <x v="3"/>
    <x v="3"/>
  </r>
  <r>
    <x v="0"/>
    <x v="2"/>
    <x v="0"/>
    <x v="4"/>
    <x v="4"/>
    <x v="4"/>
  </r>
  <r>
    <x v="0"/>
    <x v="3"/>
    <x v="0"/>
    <x v="5"/>
    <x v="5"/>
    <x v="5"/>
  </r>
  <r>
    <x v="0"/>
    <x v="4"/>
    <x v="0"/>
    <x v="6"/>
    <x v="6"/>
    <x v="6"/>
  </r>
  <r>
    <x v="3"/>
    <x v="2"/>
    <x v="3"/>
    <x v="7"/>
    <x v="7"/>
    <x v="7"/>
  </r>
  <r>
    <x v="3"/>
    <x v="5"/>
    <x v="3"/>
    <x v="8"/>
    <x v="8"/>
    <x v="8"/>
  </r>
  <r>
    <x v="2"/>
    <x v="6"/>
    <x v="2"/>
    <x v="9"/>
    <x v="9"/>
    <x v="9"/>
  </r>
  <r>
    <x v="1"/>
    <x v="4"/>
    <x v="1"/>
    <x v="10"/>
    <x v="10"/>
    <x v="10"/>
  </r>
  <r>
    <x v="2"/>
    <x v="4"/>
    <x v="2"/>
    <x v="11"/>
    <x v="11"/>
    <x v="11"/>
  </r>
  <r>
    <x v="1"/>
    <x v="2"/>
    <x v="1"/>
    <x v="12"/>
    <x v="12"/>
    <x v="12"/>
  </r>
  <r>
    <x v="1"/>
    <x v="3"/>
    <x v="1"/>
    <x v="13"/>
    <x v="13"/>
    <x v="13"/>
  </r>
  <r>
    <x v="2"/>
    <x v="2"/>
    <x v="2"/>
    <x v="14"/>
    <x v="14"/>
    <x v="14"/>
  </r>
  <r>
    <x v="3"/>
    <x v="7"/>
    <x v="3"/>
    <x v="15"/>
    <x v="15"/>
    <x v="15"/>
  </r>
  <r>
    <x v="2"/>
    <x v="8"/>
    <x v="2"/>
    <x v="16"/>
    <x v="16"/>
    <x v="16"/>
  </r>
  <r>
    <x v="2"/>
    <x v="0"/>
    <x v="2"/>
    <x v="17"/>
    <x v="17"/>
    <x v="17"/>
  </r>
  <r>
    <x v="3"/>
    <x v="0"/>
    <x v="3"/>
    <x v="18"/>
    <x v="18"/>
    <x v="18"/>
  </r>
  <r>
    <x v="1"/>
    <x v="1"/>
    <x v="1"/>
    <x v="19"/>
    <x v="19"/>
    <x v="19"/>
  </r>
  <r>
    <x v="3"/>
    <x v="9"/>
    <x v="3"/>
    <x v="20"/>
    <x v="20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00171A-CD41-4D50-973A-6C89B884BC41}" name="피벗 테이블1" cacheId="0" dataOnRows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 fieldListSortAscending="1">
  <location ref="B3:H18" firstHeaderRow="1" firstDataRow="2" firstDataCol="2" rowPageCount="1" colPageCount="1"/>
  <pivotFields count="7">
    <pivotField axis="axisCol" compact="0" showAll="0">
      <items count="5">
        <item x="3"/>
        <item x="1"/>
        <item x="0"/>
        <item x="2"/>
        <item t="default"/>
      </items>
    </pivotField>
    <pivotField axis="axisPage" compact="0" showAll="0">
      <items count="11">
        <item x="9"/>
        <item x="2"/>
        <item x="1"/>
        <item x="5"/>
        <item x="7"/>
        <item x="6"/>
        <item x="4"/>
        <item x="0"/>
        <item x="8"/>
        <item x="3"/>
        <item t="default"/>
      </items>
    </pivotField>
    <pivotField axis="axisRow" compact="0" showAll="0" sortType="descending">
      <items count="5">
        <item x="2"/>
        <item x="0"/>
        <item x="1"/>
        <item x="3"/>
        <item t="default"/>
      </items>
    </pivotField>
    <pivotField dataField="1" compact="0" showAll="0"/>
    <pivotField compact="0" showAll="0"/>
    <pivotField compact="0" showAll="0"/>
    <pivotField dataField="1" compact="0" dragToRow="0" dragToCol="0" dragToPage="0" showAll="0" defaultSubtotal="0"/>
  </pivotFields>
  <rowFields count="2">
    <field x="2"/>
    <field x="-2"/>
  </rowFields>
  <rowItems count="14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 t="grand">
      <x/>
    </i>
    <i t="grand" i="1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2">
    <dataField name="합계 : 도시가스비" fld="3" baseField="0" baseItem="0"/>
    <dataField name="합계 : 경비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E5DAF6-61EA-4E27-9837-9999ADC39410}" name="표2" displayName="표2" ref="A1:F7" totalsRowShown="0">
  <autoFilter ref="A1:F7" xr:uid="{53E5DAF6-61EA-4E27-9837-9999ADC39410}"/>
  <tableColumns count="6">
    <tableColumn id="1" xr3:uid="{CB838687-BAAE-4C6F-82B2-1D2419415640}" name="동"/>
    <tableColumn id="2" xr3:uid="{DCAD2F79-5A19-44C1-9421-42BF19EBE547}" name="호"/>
    <tableColumn id="3" xr3:uid="{4CCE700C-99DB-4C36-8F82-D96B792D0463}" name="면적"/>
    <tableColumn id="4" xr3:uid="{3C56A83A-3786-43E5-B80D-8A82B7BEDA39}" name="도시가스비"/>
    <tableColumn id="5" xr3:uid="{79A2C82F-CFF1-4F8B-B14D-06292AD7AE4B}" name="전기세"/>
    <tableColumn id="6" xr3:uid="{3F993C6D-9F13-4E78-A37A-0199CC5CED2D}" name="수도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4"/>
  <sheetViews>
    <sheetView workbookViewId="0">
      <selection activeCell="G4" sqref="G4"/>
    </sheetView>
  </sheetViews>
  <sheetFormatPr defaultRowHeight="17.399999999999999" x14ac:dyDescent="0.4"/>
  <cols>
    <col min="4" max="4" width="10" customWidth="1"/>
    <col min="5" max="5" width="12.09765625" customWidth="1"/>
    <col min="6" max="6" width="12.59765625" customWidth="1"/>
    <col min="7" max="7" width="10.59765625" bestFit="1" customWidth="1"/>
    <col min="8" max="8" width="4.19921875" customWidth="1"/>
    <col min="12" max="12" width="10.8984375" bestFit="1" customWidth="1"/>
  </cols>
  <sheetData>
    <row r="1" spans="1:12" x14ac:dyDescent="0.4">
      <c r="A1" t="s">
        <v>73</v>
      </c>
    </row>
    <row r="2" spans="1:12" x14ac:dyDescent="0.4">
      <c r="A2" s="7" t="s">
        <v>1</v>
      </c>
      <c r="B2" s="7" t="s">
        <v>2</v>
      </c>
      <c r="C2" s="7" t="s">
        <v>19</v>
      </c>
      <c r="D2" s="7" t="s">
        <v>72</v>
      </c>
      <c r="E2" s="7" t="s">
        <v>21</v>
      </c>
      <c r="F2" s="7" t="s">
        <v>22</v>
      </c>
      <c r="G2" s="7" t="s">
        <v>36</v>
      </c>
      <c r="I2" s="20" t="s">
        <v>74</v>
      </c>
    </row>
    <row r="3" spans="1:12" x14ac:dyDescent="0.4">
      <c r="A3" s="10" t="s">
        <v>14</v>
      </c>
      <c r="B3" s="10" t="s">
        <v>3</v>
      </c>
      <c r="C3" s="8">
        <v>0.19</v>
      </c>
      <c r="D3" s="3">
        <v>11500</v>
      </c>
      <c r="E3" s="11">
        <v>43547</v>
      </c>
      <c r="F3" s="11">
        <v>45374</v>
      </c>
      <c r="G3" s="9">
        <v>700</v>
      </c>
      <c r="I3" t="b">
        <f>AND(D3&gt;=10000,OR(MONTH(E3)=1,MONTH(E3)=7))</f>
        <v>0</v>
      </c>
    </row>
    <row r="4" spans="1:12" x14ac:dyDescent="0.4">
      <c r="A4" s="10" t="s">
        <v>17</v>
      </c>
      <c r="B4" s="10" t="s">
        <v>5</v>
      </c>
      <c r="C4" s="8">
        <v>0.27600000000000002</v>
      </c>
      <c r="D4" s="3">
        <v>3500</v>
      </c>
      <c r="E4" s="11">
        <v>42853</v>
      </c>
      <c r="F4" s="11">
        <v>44679</v>
      </c>
      <c r="G4" s="9">
        <v>891.66666666666663</v>
      </c>
    </row>
    <row r="5" spans="1:12" x14ac:dyDescent="0.4">
      <c r="A5" s="10" t="s">
        <v>15</v>
      </c>
      <c r="B5" s="10" t="s">
        <v>7</v>
      </c>
      <c r="C5" s="8">
        <v>0.39</v>
      </c>
      <c r="D5" s="3">
        <v>10200</v>
      </c>
      <c r="E5" s="11">
        <v>42101</v>
      </c>
      <c r="F5" s="11">
        <v>43928</v>
      </c>
      <c r="G5" s="9">
        <v>491.66666666666669</v>
      </c>
      <c r="I5" s="7" t="s">
        <v>1</v>
      </c>
      <c r="J5" s="7" t="s">
        <v>2</v>
      </c>
      <c r="K5" s="7" t="s">
        <v>20</v>
      </c>
      <c r="L5" s="7" t="s">
        <v>21</v>
      </c>
    </row>
    <row r="6" spans="1:12" x14ac:dyDescent="0.4">
      <c r="A6" s="10" t="s">
        <v>10</v>
      </c>
      <c r="B6" s="10" t="s">
        <v>3</v>
      </c>
      <c r="C6" s="8">
        <v>0.107</v>
      </c>
      <c r="D6" s="3">
        <v>14000</v>
      </c>
      <c r="E6" s="11">
        <v>43090</v>
      </c>
      <c r="F6" s="11">
        <v>44916</v>
      </c>
      <c r="G6" s="9">
        <v>1133.3333333333333</v>
      </c>
      <c r="I6" s="10" t="s">
        <v>9</v>
      </c>
      <c r="J6" s="10" t="s">
        <v>4</v>
      </c>
      <c r="K6" s="3">
        <v>12600</v>
      </c>
      <c r="L6" s="11">
        <v>43472</v>
      </c>
    </row>
    <row r="7" spans="1:12" x14ac:dyDescent="0.4">
      <c r="A7" s="10" t="s">
        <v>11</v>
      </c>
      <c r="B7" s="10" t="s">
        <v>6</v>
      </c>
      <c r="C7" s="8">
        <v>0.35599999999999998</v>
      </c>
      <c r="D7" s="3">
        <v>12100</v>
      </c>
      <c r="E7" s="11">
        <v>42965</v>
      </c>
      <c r="F7" s="11">
        <v>44791</v>
      </c>
      <c r="G7" s="9">
        <v>966.66666666666663</v>
      </c>
      <c r="I7" s="10" t="s">
        <v>13</v>
      </c>
      <c r="J7" s="10" t="s">
        <v>3</v>
      </c>
      <c r="K7" s="3">
        <v>10500</v>
      </c>
      <c r="L7" s="11">
        <v>42743</v>
      </c>
    </row>
    <row r="8" spans="1:12" x14ac:dyDescent="0.4">
      <c r="A8" s="10" t="s">
        <v>10</v>
      </c>
      <c r="B8" s="10" t="s">
        <v>4</v>
      </c>
      <c r="C8" s="8">
        <v>0.3</v>
      </c>
      <c r="D8" s="3">
        <v>7700</v>
      </c>
      <c r="E8" s="11">
        <v>42015</v>
      </c>
      <c r="F8" s="11">
        <v>43841</v>
      </c>
      <c r="G8" s="9">
        <v>1008.3333333333334</v>
      </c>
      <c r="I8" s="10" t="s">
        <v>15</v>
      </c>
      <c r="J8" s="10" t="s">
        <v>5</v>
      </c>
      <c r="K8" s="3">
        <v>13200</v>
      </c>
      <c r="L8" s="11">
        <v>42195</v>
      </c>
    </row>
    <row r="9" spans="1:12" x14ac:dyDescent="0.4">
      <c r="A9" s="10" t="s">
        <v>9</v>
      </c>
      <c r="B9" s="10" t="s">
        <v>4</v>
      </c>
      <c r="C9" s="8">
        <v>0.42899999999999999</v>
      </c>
      <c r="D9" s="3">
        <v>12600</v>
      </c>
      <c r="E9" s="11">
        <v>43472</v>
      </c>
      <c r="F9" s="11">
        <v>45298</v>
      </c>
      <c r="G9" s="9">
        <v>666.66666666666663</v>
      </c>
      <c r="I9" s="10" t="s">
        <v>9</v>
      </c>
      <c r="J9" s="10" t="s">
        <v>3</v>
      </c>
      <c r="K9" s="3">
        <v>13100</v>
      </c>
      <c r="L9" s="11">
        <v>43469</v>
      </c>
    </row>
    <row r="10" spans="1:12" x14ac:dyDescent="0.4">
      <c r="A10" s="10" t="s">
        <v>13</v>
      </c>
      <c r="B10" s="10" t="s">
        <v>6</v>
      </c>
      <c r="C10" s="8">
        <v>0.16600000000000001</v>
      </c>
      <c r="D10" s="3">
        <v>13200</v>
      </c>
      <c r="E10" s="11">
        <v>43143</v>
      </c>
      <c r="F10" s="11">
        <v>44969</v>
      </c>
      <c r="G10" s="9">
        <v>458.33333333333331</v>
      </c>
    </row>
    <row r="11" spans="1:12" x14ac:dyDescent="0.4">
      <c r="A11" s="10" t="s">
        <v>8</v>
      </c>
      <c r="B11" s="10" t="s">
        <v>5</v>
      </c>
      <c r="C11" s="8">
        <v>0.255</v>
      </c>
      <c r="D11" s="3">
        <v>8400</v>
      </c>
      <c r="E11" s="11">
        <v>43533</v>
      </c>
      <c r="F11" s="11">
        <v>45360</v>
      </c>
      <c r="G11" s="9">
        <v>883.33333333333337</v>
      </c>
    </row>
    <row r="12" spans="1:12" x14ac:dyDescent="0.4">
      <c r="A12" s="10" t="s">
        <v>18</v>
      </c>
      <c r="B12" s="10" t="s">
        <v>3</v>
      </c>
      <c r="C12" s="8">
        <v>0.23499999999999999</v>
      </c>
      <c r="D12" s="3">
        <v>10500</v>
      </c>
      <c r="E12" s="11">
        <v>42743</v>
      </c>
      <c r="F12" s="11">
        <v>44569</v>
      </c>
      <c r="G12" s="9">
        <v>741.66666666666663</v>
      </c>
    </row>
    <row r="13" spans="1:12" x14ac:dyDescent="0.4">
      <c r="A13" s="10" t="s">
        <v>10</v>
      </c>
      <c r="B13" s="10" t="s">
        <v>4</v>
      </c>
      <c r="C13" s="8">
        <v>0.48799999999999999</v>
      </c>
      <c r="D13" s="3">
        <v>4300</v>
      </c>
      <c r="E13" s="11">
        <v>42139</v>
      </c>
      <c r="F13" s="11">
        <v>43966</v>
      </c>
      <c r="G13" s="9">
        <v>366.66666666666669</v>
      </c>
    </row>
    <row r="14" spans="1:12" x14ac:dyDescent="0.4">
      <c r="A14" s="10" t="s">
        <v>16</v>
      </c>
      <c r="B14" s="10" t="s">
        <v>5</v>
      </c>
      <c r="C14" s="8">
        <v>0.39300000000000002</v>
      </c>
      <c r="D14" s="3">
        <v>4400</v>
      </c>
      <c r="E14" s="11">
        <v>44161</v>
      </c>
      <c r="F14" s="11">
        <v>45987</v>
      </c>
      <c r="G14" s="9">
        <v>1016.6666666666666</v>
      </c>
    </row>
    <row r="15" spans="1:12" x14ac:dyDescent="0.4">
      <c r="A15" s="10" t="s">
        <v>16</v>
      </c>
      <c r="B15" s="10" t="s">
        <v>4</v>
      </c>
      <c r="C15" s="8">
        <v>0.33400000000000002</v>
      </c>
      <c r="D15" s="3">
        <v>11500</v>
      </c>
      <c r="E15" s="11">
        <v>44154</v>
      </c>
      <c r="F15" s="11">
        <v>45980</v>
      </c>
      <c r="G15" s="9">
        <v>1016.6666666666666</v>
      </c>
    </row>
    <row r="16" spans="1:12" x14ac:dyDescent="0.4">
      <c r="A16" s="10" t="s">
        <v>15</v>
      </c>
      <c r="B16" s="10" t="s">
        <v>7</v>
      </c>
      <c r="C16" s="8">
        <v>0.27700000000000002</v>
      </c>
      <c r="D16" s="3">
        <v>10600</v>
      </c>
      <c r="E16" s="11">
        <v>43939</v>
      </c>
      <c r="F16" s="11">
        <v>45765</v>
      </c>
      <c r="G16" s="9">
        <v>650</v>
      </c>
    </row>
    <row r="17" spans="1:7" x14ac:dyDescent="0.4">
      <c r="A17" s="10" t="s">
        <v>16</v>
      </c>
      <c r="B17" s="10" t="s">
        <v>4</v>
      </c>
      <c r="C17" s="8">
        <v>0.55800000000000005</v>
      </c>
      <c r="D17" s="3">
        <v>9900</v>
      </c>
      <c r="E17" s="11">
        <v>43548</v>
      </c>
      <c r="F17" s="11">
        <v>45375</v>
      </c>
      <c r="G17" s="9">
        <v>683.33333333333337</v>
      </c>
    </row>
    <row r="18" spans="1:7" x14ac:dyDescent="0.4">
      <c r="A18" s="10" t="s">
        <v>8</v>
      </c>
      <c r="B18" s="10" t="s">
        <v>6</v>
      </c>
      <c r="C18" s="8">
        <v>0.251</v>
      </c>
      <c r="D18" s="3">
        <v>7800</v>
      </c>
      <c r="E18" s="11">
        <v>43073</v>
      </c>
      <c r="F18" s="11">
        <v>44899</v>
      </c>
      <c r="G18" s="9">
        <v>1041.6666666666667</v>
      </c>
    </row>
    <row r="19" spans="1:7" x14ac:dyDescent="0.4">
      <c r="A19" s="10" t="s">
        <v>17</v>
      </c>
      <c r="B19" s="10" t="s">
        <v>5</v>
      </c>
      <c r="C19" s="8">
        <v>0.47</v>
      </c>
      <c r="D19" s="3">
        <v>13200</v>
      </c>
      <c r="E19" s="11">
        <v>42195</v>
      </c>
      <c r="F19" s="11">
        <v>44022</v>
      </c>
      <c r="G19" s="9">
        <v>1175</v>
      </c>
    </row>
    <row r="20" spans="1:7" x14ac:dyDescent="0.4">
      <c r="A20" s="10" t="s">
        <v>12</v>
      </c>
      <c r="B20" s="10" t="s">
        <v>3</v>
      </c>
      <c r="C20" s="8">
        <v>0.223</v>
      </c>
      <c r="D20" s="3">
        <v>5200</v>
      </c>
      <c r="E20" s="11">
        <v>43226</v>
      </c>
      <c r="F20" s="11">
        <v>45052</v>
      </c>
      <c r="G20" s="9">
        <v>883.33333333333337</v>
      </c>
    </row>
    <row r="21" spans="1:7" x14ac:dyDescent="0.4">
      <c r="A21" s="10" t="s">
        <v>12</v>
      </c>
      <c r="B21" s="10" t="s">
        <v>5</v>
      </c>
      <c r="C21" s="8">
        <v>0.40600000000000003</v>
      </c>
      <c r="D21" s="3">
        <v>6800</v>
      </c>
      <c r="E21" s="11">
        <v>42630</v>
      </c>
      <c r="F21" s="11">
        <v>44456</v>
      </c>
      <c r="G21" s="9">
        <v>858.33333333333337</v>
      </c>
    </row>
    <row r="22" spans="1:7" x14ac:dyDescent="0.4">
      <c r="A22" s="10" t="s">
        <v>13</v>
      </c>
      <c r="B22" s="10" t="s">
        <v>6</v>
      </c>
      <c r="C22" s="8">
        <v>0.20799999999999999</v>
      </c>
      <c r="D22" s="3">
        <v>12700</v>
      </c>
      <c r="E22" s="11">
        <v>42786</v>
      </c>
      <c r="F22" s="11">
        <v>44612</v>
      </c>
      <c r="G22" s="9">
        <v>433.33333333333331</v>
      </c>
    </row>
    <row r="23" spans="1:7" x14ac:dyDescent="0.4">
      <c r="A23" s="10" t="s">
        <v>10</v>
      </c>
      <c r="B23" s="10" t="s">
        <v>3</v>
      </c>
      <c r="C23" s="8">
        <v>0.19500000000000001</v>
      </c>
      <c r="D23" s="3">
        <v>13100</v>
      </c>
      <c r="E23" s="11">
        <v>43469</v>
      </c>
      <c r="F23" s="11">
        <v>45295</v>
      </c>
      <c r="G23" s="9">
        <v>808.33333333333337</v>
      </c>
    </row>
    <row r="24" spans="1:7" x14ac:dyDescent="0.4">
      <c r="A24" s="10" t="s">
        <v>9</v>
      </c>
      <c r="B24" s="10" t="s">
        <v>4</v>
      </c>
      <c r="C24" s="8">
        <v>0.11799999999999999</v>
      </c>
      <c r="D24" s="3">
        <v>9000</v>
      </c>
      <c r="E24" s="11">
        <v>42772</v>
      </c>
      <c r="F24" s="11">
        <v>44598</v>
      </c>
      <c r="G24" s="9">
        <v>700</v>
      </c>
    </row>
  </sheetData>
  <sortState xmlns:xlrd2="http://schemas.microsoft.com/office/spreadsheetml/2017/richdata2" ref="A3:G24">
    <sortCondition ref="D5"/>
  </sortState>
  <phoneticPr fontId="1" type="noConversion"/>
  <conditionalFormatting sqref="A3:G24">
    <cfRule type="expression" dxfId="0" priority="1">
      <formula>ISODD(MOD(COLUMN(),3))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G24"/>
  <sheetViews>
    <sheetView workbookViewId="0">
      <selection activeCell="J18" sqref="J18"/>
    </sheetView>
  </sheetViews>
  <sheetFormatPr defaultRowHeight="17.399999999999999" x14ac:dyDescent="0.4"/>
  <cols>
    <col min="4" max="4" width="13" bestFit="1" customWidth="1"/>
    <col min="5" max="5" width="12.09765625" customWidth="1"/>
    <col min="6" max="6" width="12.59765625" customWidth="1"/>
    <col min="7" max="7" width="10.59765625" bestFit="1" customWidth="1"/>
  </cols>
  <sheetData>
    <row r="2" spans="1:7" x14ac:dyDescent="0.4">
      <c r="A2" s="7" t="s">
        <v>1</v>
      </c>
      <c r="B2" s="7" t="s">
        <v>2</v>
      </c>
      <c r="C2" s="7" t="s">
        <v>19</v>
      </c>
      <c r="D2" s="7" t="s">
        <v>20</v>
      </c>
      <c r="E2" s="7" t="s">
        <v>21</v>
      </c>
      <c r="F2" s="7" t="s">
        <v>22</v>
      </c>
      <c r="G2" s="7" t="s">
        <v>36</v>
      </c>
    </row>
    <row r="3" spans="1:7" x14ac:dyDescent="0.4">
      <c r="A3" s="10" t="s">
        <v>14</v>
      </c>
      <c r="B3" s="10" t="s">
        <v>3</v>
      </c>
      <c r="C3" s="8">
        <v>0.19</v>
      </c>
      <c r="D3" s="3">
        <v>11500</v>
      </c>
      <c r="E3" s="11">
        <v>43547</v>
      </c>
      <c r="F3" s="11">
        <v>45374</v>
      </c>
      <c r="G3" s="21">
        <f>D3/12</f>
        <v>958.33333333333337</v>
      </c>
    </row>
    <row r="4" spans="1:7" x14ac:dyDescent="0.4">
      <c r="A4" s="10" t="s">
        <v>17</v>
      </c>
      <c r="B4" s="10" t="s">
        <v>5</v>
      </c>
      <c r="C4" s="8">
        <v>0.27600000000000002</v>
      </c>
      <c r="D4" s="3">
        <v>3500</v>
      </c>
      <c r="E4" s="11">
        <v>42853</v>
      </c>
      <c r="F4" s="11">
        <v>44679</v>
      </c>
      <c r="G4" s="21">
        <f t="shared" ref="G4:G24" si="0">D4/12</f>
        <v>291.66666666666669</v>
      </c>
    </row>
    <row r="5" spans="1:7" x14ac:dyDescent="0.4">
      <c r="A5" s="10" t="s">
        <v>15</v>
      </c>
      <c r="B5" s="10" t="s">
        <v>7</v>
      </c>
      <c r="C5" s="8">
        <v>0.39</v>
      </c>
      <c r="D5" s="3">
        <v>10200</v>
      </c>
      <c r="E5" s="11">
        <v>42101</v>
      </c>
      <c r="F5" s="11">
        <v>43928</v>
      </c>
      <c r="G5" s="21">
        <f t="shared" si="0"/>
        <v>850</v>
      </c>
    </row>
    <row r="6" spans="1:7" x14ac:dyDescent="0.4">
      <c r="A6" s="10" t="s">
        <v>10</v>
      </c>
      <c r="B6" s="10" t="s">
        <v>3</v>
      </c>
      <c r="C6" s="8">
        <v>0.107</v>
      </c>
      <c r="D6" s="3">
        <v>14000</v>
      </c>
      <c r="E6" s="11">
        <v>43090</v>
      </c>
      <c r="F6" s="11">
        <v>44916</v>
      </c>
      <c r="G6" s="21">
        <f t="shared" si="0"/>
        <v>1166.6666666666667</v>
      </c>
    </row>
    <row r="7" spans="1:7" x14ac:dyDescent="0.4">
      <c r="A7" s="10" t="s">
        <v>11</v>
      </c>
      <c r="B7" s="10" t="s">
        <v>6</v>
      </c>
      <c r="C7" s="8">
        <v>0.35599999999999998</v>
      </c>
      <c r="D7" s="3">
        <v>12100</v>
      </c>
      <c r="E7" s="11">
        <v>42965</v>
      </c>
      <c r="F7" s="11">
        <v>44791</v>
      </c>
      <c r="G7" s="21">
        <f t="shared" si="0"/>
        <v>1008.3333333333334</v>
      </c>
    </row>
    <row r="8" spans="1:7" x14ac:dyDescent="0.4">
      <c r="A8" s="10" t="s">
        <v>10</v>
      </c>
      <c r="B8" s="10" t="s">
        <v>4</v>
      </c>
      <c r="C8" s="8">
        <v>0.3</v>
      </c>
      <c r="D8" s="3">
        <v>7700</v>
      </c>
      <c r="E8" s="11">
        <v>42015</v>
      </c>
      <c r="F8" s="11">
        <v>43841</v>
      </c>
      <c r="G8" s="21">
        <f t="shared" si="0"/>
        <v>641.66666666666663</v>
      </c>
    </row>
    <row r="9" spans="1:7" x14ac:dyDescent="0.4">
      <c r="A9" s="10" t="s">
        <v>9</v>
      </c>
      <c r="B9" s="10" t="s">
        <v>4</v>
      </c>
      <c r="C9" s="8">
        <v>0.42899999999999999</v>
      </c>
      <c r="D9" s="3">
        <v>12600</v>
      </c>
      <c r="E9" s="11">
        <v>43472</v>
      </c>
      <c r="F9" s="11">
        <v>45298</v>
      </c>
      <c r="G9" s="21">
        <f t="shared" si="0"/>
        <v>1050</v>
      </c>
    </row>
    <row r="10" spans="1:7" x14ac:dyDescent="0.4">
      <c r="A10" s="10" t="s">
        <v>13</v>
      </c>
      <c r="B10" s="10" t="s">
        <v>6</v>
      </c>
      <c r="C10" s="8">
        <v>0.16600000000000001</v>
      </c>
      <c r="D10" s="3">
        <v>13200</v>
      </c>
      <c r="E10" s="11">
        <v>43143</v>
      </c>
      <c r="F10" s="11">
        <v>44969</v>
      </c>
      <c r="G10" s="21">
        <f t="shared" si="0"/>
        <v>1100</v>
      </c>
    </row>
    <row r="11" spans="1:7" x14ac:dyDescent="0.4">
      <c r="A11" s="10" t="s">
        <v>8</v>
      </c>
      <c r="B11" s="10" t="s">
        <v>5</v>
      </c>
      <c r="C11" s="8">
        <v>0.255</v>
      </c>
      <c r="D11" s="3">
        <v>8400</v>
      </c>
      <c r="E11" s="11">
        <v>43533</v>
      </c>
      <c r="F11" s="11">
        <v>45360</v>
      </c>
      <c r="G11" s="21">
        <f t="shared" si="0"/>
        <v>700</v>
      </c>
    </row>
    <row r="12" spans="1:7" x14ac:dyDescent="0.4">
      <c r="A12" s="10" t="s">
        <v>18</v>
      </c>
      <c r="B12" s="10" t="s">
        <v>3</v>
      </c>
      <c r="C12" s="8">
        <v>0.23499999999999999</v>
      </c>
      <c r="D12" s="3">
        <v>10500</v>
      </c>
      <c r="E12" s="11">
        <v>42743</v>
      </c>
      <c r="F12" s="11">
        <v>44569</v>
      </c>
      <c r="G12" s="21">
        <f t="shared" si="0"/>
        <v>875</v>
      </c>
    </row>
    <row r="13" spans="1:7" x14ac:dyDescent="0.4">
      <c r="A13" s="10" t="s">
        <v>10</v>
      </c>
      <c r="B13" s="10" t="s">
        <v>4</v>
      </c>
      <c r="C13" s="8">
        <v>0.48799999999999999</v>
      </c>
      <c r="D13" s="3">
        <v>4300</v>
      </c>
      <c r="E13" s="11">
        <v>42139</v>
      </c>
      <c r="F13" s="11">
        <v>43966</v>
      </c>
      <c r="G13" s="21">
        <f t="shared" si="0"/>
        <v>358.33333333333331</v>
      </c>
    </row>
    <row r="14" spans="1:7" x14ac:dyDescent="0.4">
      <c r="A14" s="10" t="s">
        <v>16</v>
      </c>
      <c r="B14" s="10" t="s">
        <v>5</v>
      </c>
      <c r="C14" s="8">
        <v>0.39300000000000002</v>
      </c>
      <c r="D14" s="3">
        <v>4400</v>
      </c>
      <c r="E14" s="11">
        <v>44161</v>
      </c>
      <c r="F14" s="11">
        <v>45987</v>
      </c>
      <c r="G14" s="21">
        <f t="shared" si="0"/>
        <v>366.66666666666669</v>
      </c>
    </row>
    <row r="15" spans="1:7" x14ac:dyDescent="0.4">
      <c r="A15" s="10" t="s">
        <v>16</v>
      </c>
      <c r="B15" s="10" t="s">
        <v>4</v>
      </c>
      <c r="C15" s="8">
        <v>0.33400000000000002</v>
      </c>
      <c r="D15" s="3">
        <v>11500</v>
      </c>
      <c r="E15" s="11">
        <v>44154</v>
      </c>
      <c r="F15" s="11">
        <v>45980</v>
      </c>
      <c r="G15" s="21">
        <f t="shared" si="0"/>
        <v>958.33333333333337</v>
      </c>
    </row>
    <row r="16" spans="1:7" x14ac:dyDescent="0.4">
      <c r="A16" s="10" t="s">
        <v>15</v>
      </c>
      <c r="B16" s="10" t="s">
        <v>7</v>
      </c>
      <c r="C16" s="8">
        <v>0.27700000000000002</v>
      </c>
      <c r="D16" s="3">
        <v>10600</v>
      </c>
      <c r="E16" s="11">
        <v>43939</v>
      </c>
      <c r="F16" s="11">
        <v>45765</v>
      </c>
      <c r="G16" s="21">
        <f t="shared" si="0"/>
        <v>883.33333333333337</v>
      </c>
    </row>
    <row r="17" spans="1:7" x14ac:dyDescent="0.4">
      <c r="A17" s="10" t="s">
        <v>16</v>
      </c>
      <c r="B17" s="10" t="s">
        <v>4</v>
      </c>
      <c r="C17" s="8">
        <v>0.55800000000000005</v>
      </c>
      <c r="D17" s="3">
        <v>9900</v>
      </c>
      <c r="E17" s="11">
        <v>43548</v>
      </c>
      <c r="F17" s="11">
        <v>45375</v>
      </c>
      <c r="G17" s="21">
        <f t="shared" si="0"/>
        <v>825</v>
      </c>
    </row>
    <row r="18" spans="1:7" x14ac:dyDescent="0.4">
      <c r="A18" s="10" t="s">
        <v>8</v>
      </c>
      <c r="B18" s="10" t="s">
        <v>6</v>
      </c>
      <c r="C18" s="8">
        <v>0.251</v>
      </c>
      <c r="D18" s="3">
        <v>7800</v>
      </c>
      <c r="E18" s="11">
        <v>43073</v>
      </c>
      <c r="F18" s="11">
        <v>44899</v>
      </c>
      <c r="G18" s="21">
        <f t="shared" si="0"/>
        <v>650</v>
      </c>
    </row>
    <row r="19" spans="1:7" x14ac:dyDescent="0.4">
      <c r="A19" s="10" t="s">
        <v>17</v>
      </c>
      <c r="B19" s="10" t="s">
        <v>5</v>
      </c>
      <c r="C19" s="8">
        <v>0.47</v>
      </c>
      <c r="D19" s="3">
        <v>13200</v>
      </c>
      <c r="E19" s="11">
        <v>42195</v>
      </c>
      <c r="F19" s="11">
        <v>44022</v>
      </c>
      <c r="G19" s="21">
        <f t="shared" si="0"/>
        <v>1100</v>
      </c>
    </row>
    <row r="20" spans="1:7" x14ac:dyDescent="0.4">
      <c r="A20" s="10" t="s">
        <v>12</v>
      </c>
      <c r="B20" s="10" t="s">
        <v>3</v>
      </c>
      <c r="C20" s="8">
        <v>0.223</v>
      </c>
      <c r="D20" s="3">
        <v>5200</v>
      </c>
      <c r="E20" s="11">
        <v>43226</v>
      </c>
      <c r="F20" s="11">
        <v>45052</v>
      </c>
      <c r="G20" s="21">
        <f t="shared" si="0"/>
        <v>433.33333333333331</v>
      </c>
    </row>
    <row r="21" spans="1:7" x14ac:dyDescent="0.4">
      <c r="A21" s="10" t="s">
        <v>12</v>
      </c>
      <c r="B21" s="10" t="s">
        <v>5</v>
      </c>
      <c r="C21" s="8">
        <v>0.40600000000000003</v>
      </c>
      <c r="D21" s="3">
        <v>6800</v>
      </c>
      <c r="E21" s="11">
        <v>42630</v>
      </c>
      <c r="F21" s="11">
        <v>44456</v>
      </c>
      <c r="G21" s="21">
        <f t="shared" si="0"/>
        <v>566.66666666666663</v>
      </c>
    </row>
    <row r="22" spans="1:7" x14ac:dyDescent="0.4">
      <c r="A22" s="10" t="s">
        <v>13</v>
      </c>
      <c r="B22" s="10" t="s">
        <v>6</v>
      </c>
      <c r="C22" s="8">
        <v>0.20799999999999999</v>
      </c>
      <c r="D22" s="3">
        <v>12700</v>
      </c>
      <c r="E22" s="11">
        <v>42786</v>
      </c>
      <c r="F22" s="11">
        <v>44612</v>
      </c>
      <c r="G22" s="21">
        <f t="shared" si="0"/>
        <v>1058.3333333333333</v>
      </c>
    </row>
    <row r="23" spans="1:7" x14ac:dyDescent="0.4">
      <c r="A23" s="10" t="s">
        <v>10</v>
      </c>
      <c r="B23" s="10" t="s">
        <v>3</v>
      </c>
      <c r="C23" s="8">
        <v>0.19500000000000001</v>
      </c>
      <c r="D23" s="3">
        <v>13100</v>
      </c>
      <c r="E23" s="11">
        <v>43469</v>
      </c>
      <c r="F23" s="11">
        <v>45295</v>
      </c>
      <c r="G23" s="21">
        <f t="shared" si="0"/>
        <v>1091.6666666666667</v>
      </c>
    </row>
    <row r="24" spans="1:7" x14ac:dyDescent="0.4">
      <c r="A24" s="10" t="s">
        <v>9</v>
      </c>
      <c r="B24" s="10" t="s">
        <v>4</v>
      </c>
      <c r="C24" s="8">
        <v>0.11799999999999999</v>
      </c>
      <c r="D24" s="3">
        <v>9000</v>
      </c>
      <c r="E24" s="11">
        <v>42772</v>
      </c>
      <c r="F24" s="11">
        <v>44598</v>
      </c>
      <c r="G24" s="21">
        <f t="shared" si="0"/>
        <v>750</v>
      </c>
    </row>
  </sheetData>
  <sheetProtection sheet="1" objects="1" scenarios="1" formatCells="0"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32"/>
  <sheetViews>
    <sheetView topLeftCell="A9" workbookViewId="0">
      <selection activeCell="I15" sqref="I15"/>
    </sheetView>
  </sheetViews>
  <sheetFormatPr defaultRowHeight="17.399999999999999" x14ac:dyDescent="0.4"/>
  <cols>
    <col min="2" max="2" width="13" bestFit="1" customWidth="1"/>
    <col min="3" max="4" width="9" customWidth="1"/>
    <col min="5" max="5" width="12.3984375" customWidth="1"/>
    <col min="6" max="6" width="12.19921875" customWidth="1"/>
    <col min="7" max="7" width="12" customWidth="1"/>
    <col min="8" max="8" width="11" bestFit="1" customWidth="1"/>
  </cols>
  <sheetData>
    <row r="1" spans="1:9" x14ac:dyDescent="0.4">
      <c r="A1" t="s">
        <v>0</v>
      </c>
    </row>
    <row r="2" spans="1:9" x14ac:dyDescent="0.4">
      <c r="A2" s="2" t="s">
        <v>1</v>
      </c>
      <c r="B2" s="2" t="s">
        <v>2</v>
      </c>
      <c r="C2" s="2" t="s">
        <v>19</v>
      </c>
      <c r="D2" s="2" t="s">
        <v>20</v>
      </c>
      <c r="E2" s="2" t="s">
        <v>21</v>
      </c>
      <c r="F2" s="2" t="s">
        <v>22</v>
      </c>
      <c r="G2" s="16" t="s">
        <v>23</v>
      </c>
      <c r="H2" s="16" t="s">
        <v>24</v>
      </c>
      <c r="I2" s="16" t="s">
        <v>25</v>
      </c>
    </row>
    <row r="3" spans="1:9" x14ac:dyDescent="0.4">
      <c r="A3" s="2" t="s">
        <v>35</v>
      </c>
      <c r="B3" s="2" t="s">
        <v>4</v>
      </c>
      <c r="C3" s="1">
        <v>0.48799999999999999</v>
      </c>
      <c r="D3" s="3">
        <v>3700</v>
      </c>
      <c r="E3" s="6">
        <v>44144</v>
      </c>
      <c r="F3" s="6">
        <v>45605</v>
      </c>
      <c r="G3" s="2" t="str">
        <f>TEXT(QUOTIENT(_xlfn.DAYS($F3,$E3),30) * $D3/12,"#,##0천원")</f>
        <v>14,800천원</v>
      </c>
      <c r="H3" s="3">
        <f>TRUNC(D3*(1-(IF(B3="투수",VLOOKUP(C3,$F$29:$G$32,2,TRUE),VLOOKUP(C3,$H$29:$I$32,2,TRUE)))),-3)</f>
        <v>1000</v>
      </c>
      <c r="I3" s="3" cm="1">
        <f t="array" ref="I3">fn연소득(C3,D3)</f>
        <v>4700</v>
      </c>
    </row>
    <row r="4" spans="1:9" x14ac:dyDescent="0.4">
      <c r="A4" s="2" t="s">
        <v>18</v>
      </c>
      <c r="B4" s="2" t="s">
        <v>3</v>
      </c>
      <c r="C4" s="1">
        <v>0.23499999999999999</v>
      </c>
      <c r="D4" s="3">
        <v>5500</v>
      </c>
      <c r="E4" s="6">
        <v>42270</v>
      </c>
      <c r="F4" s="6">
        <v>43731</v>
      </c>
      <c r="G4" s="2" t="str">
        <f t="shared" ref="G4:G24" si="0">TEXT(QUOTIENT(_xlfn.DAYS($F4,$E4),30) * $D4/12,"#,##0천원")</f>
        <v>22,000천원</v>
      </c>
      <c r="H4" s="3">
        <f t="shared" ref="H4:H24" si="1">TRUNC(D4*(1-(IF(B4="투수",VLOOKUP(C4,$F$29:$G$32,2,TRUE),VLOOKUP(C4,$H$29:$I$32,2,TRUE)))),-3)</f>
        <v>3000</v>
      </c>
      <c r="I4" s="3" cm="1">
        <f t="array" ref="I4">fn연소득(C4,D4)</f>
        <v>6000</v>
      </c>
    </row>
    <row r="5" spans="1:9" x14ac:dyDescent="0.4">
      <c r="A5" s="2" t="s">
        <v>11</v>
      </c>
      <c r="B5" s="2" t="s">
        <v>6</v>
      </c>
      <c r="C5" s="1">
        <v>0.35599999999999998</v>
      </c>
      <c r="D5" s="3">
        <v>14500</v>
      </c>
      <c r="E5" s="6">
        <v>42477</v>
      </c>
      <c r="F5" s="6">
        <v>43938</v>
      </c>
      <c r="G5" s="2" t="str">
        <f t="shared" si="0"/>
        <v>58,000천원</v>
      </c>
      <c r="H5" s="3">
        <f t="shared" si="1"/>
        <v>10000</v>
      </c>
      <c r="I5" s="3" cm="1">
        <f t="array" ref="I5">fn연소득(C5,D5)</f>
        <v>15000</v>
      </c>
    </row>
    <row r="6" spans="1:9" x14ac:dyDescent="0.4">
      <c r="A6" s="2" t="s">
        <v>9</v>
      </c>
      <c r="B6" s="2" t="s">
        <v>4</v>
      </c>
      <c r="C6" s="1">
        <v>0.42899999999999999</v>
      </c>
      <c r="D6" s="3">
        <v>9400</v>
      </c>
      <c r="E6" s="6">
        <v>43115</v>
      </c>
      <c r="F6" s="6">
        <v>44576</v>
      </c>
      <c r="G6" s="2" t="str">
        <f t="shared" si="0"/>
        <v>37,600천원</v>
      </c>
      <c r="H6" s="3">
        <f t="shared" si="1"/>
        <v>4000</v>
      </c>
      <c r="I6" s="3" cm="1">
        <f t="array" ref="I6">fn연소득(C6,D6)</f>
        <v>10400</v>
      </c>
    </row>
    <row r="7" spans="1:9" x14ac:dyDescent="0.4">
      <c r="A7" s="2" t="s">
        <v>16</v>
      </c>
      <c r="B7" s="2" t="s">
        <v>4</v>
      </c>
      <c r="C7" s="1">
        <v>0.33400000000000002</v>
      </c>
      <c r="D7" s="3">
        <v>4200</v>
      </c>
      <c r="E7" s="6">
        <v>42097</v>
      </c>
      <c r="F7" s="6">
        <v>43558</v>
      </c>
      <c r="G7" s="2" t="str">
        <f t="shared" si="0"/>
        <v>16,800천원</v>
      </c>
      <c r="H7" s="3">
        <f t="shared" si="1"/>
        <v>2000</v>
      </c>
      <c r="I7" s="3" cm="1">
        <f t="array" ref="I7">fn연소득(C7,D7)</f>
        <v>4700</v>
      </c>
    </row>
    <row r="8" spans="1:9" x14ac:dyDescent="0.4">
      <c r="A8" s="2" t="s">
        <v>10</v>
      </c>
      <c r="B8" s="2" t="s">
        <v>3</v>
      </c>
      <c r="C8" s="1">
        <v>0.19500000000000001</v>
      </c>
      <c r="D8" s="3">
        <v>14000</v>
      </c>
      <c r="E8" s="6">
        <v>44082</v>
      </c>
      <c r="F8" s="6">
        <v>45543</v>
      </c>
      <c r="G8" s="2" t="str">
        <f t="shared" si="0"/>
        <v>56,000천원</v>
      </c>
      <c r="H8" s="3">
        <f t="shared" si="1"/>
        <v>7000</v>
      </c>
      <c r="I8" s="3" cm="1">
        <f t="array" ref="I8">fn연소득(C8,D8)</f>
        <v>14000</v>
      </c>
    </row>
    <row r="9" spans="1:9" x14ac:dyDescent="0.4">
      <c r="A9" s="2" t="s">
        <v>12</v>
      </c>
      <c r="B9" s="2" t="s">
        <v>3</v>
      </c>
      <c r="C9" s="1">
        <v>0.223</v>
      </c>
      <c r="D9" s="3">
        <v>13100</v>
      </c>
      <c r="E9" s="6">
        <v>43754</v>
      </c>
      <c r="F9" s="6">
        <v>45215</v>
      </c>
      <c r="G9" s="2" t="str">
        <f t="shared" si="0"/>
        <v>52,400천원</v>
      </c>
      <c r="H9" s="3">
        <f t="shared" si="1"/>
        <v>9000</v>
      </c>
      <c r="I9" s="3" cm="1">
        <f t="array" ref="I9">fn연소득(C9,D9)</f>
        <v>13600</v>
      </c>
    </row>
    <row r="10" spans="1:9" x14ac:dyDescent="0.4">
      <c r="A10" s="2" t="s">
        <v>10</v>
      </c>
      <c r="B10" s="2" t="s">
        <v>4</v>
      </c>
      <c r="C10" s="1">
        <v>0.3</v>
      </c>
      <c r="D10" s="3">
        <v>8600</v>
      </c>
      <c r="E10" s="6">
        <v>42746</v>
      </c>
      <c r="F10" s="6">
        <v>44207</v>
      </c>
      <c r="G10" s="2" t="str">
        <f t="shared" si="0"/>
        <v>34,400천원</v>
      </c>
      <c r="H10" s="3">
        <f t="shared" si="1"/>
        <v>6000</v>
      </c>
      <c r="I10" s="3" cm="1">
        <f t="array" ref="I10">fn연소득(C10,D10)</f>
        <v>9100</v>
      </c>
    </row>
    <row r="11" spans="1:9" x14ac:dyDescent="0.4">
      <c r="A11" s="2" t="s">
        <v>9</v>
      </c>
      <c r="B11" s="2" t="s">
        <v>4</v>
      </c>
      <c r="C11" s="1">
        <v>0.11799999999999999</v>
      </c>
      <c r="D11" s="3">
        <v>13900</v>
      </c>
      <c r="E11" s="6">
        <v>44123</v>
      </c>
      <c r="F11" s="6">
        <v>45584</v>
      </c>
      <c r="G11" s="2" t="str">
        <f t="shared" si="0"/>
        <v>55,600천원</v>
      </c>
      <c r="H11" s="3">
        <f t="shared" si="1"/>
        <v>13000</v>
      </c>
      <c r="I11" s="3" cm="1">
        <f t="array" ref="I11">fn연소득(C11,D11)</f>
        <v>13900</v>
      </c>
    </row>
    <row r="12" spans="1:9" x14ac:dyDescent="0.4">
      <c r="A12" s="2" t="s">
        <v>17</v>
      </c>
      <c r="B12" s="2" t="s">
        <v>5</v>
      </c>
      <c r="C12" s="1">
        <v>0.27600000000000002</v>
      </c>
      <c r="D12" s="3">
        <v>8200</v>
      </c>
      <c r="E12" s="6">
        <v>43296</v>
      </c>
      <c r="F12" s="6">
        <v>44757</v>
      </c>
      <c r="G12" s="2" t="str">
        <f t="shared" si="0"/>
        <v>32,800천원</v>
      </c>
      <c r="H12" s="3">
        <f t="shared" si="1"/>
        <v>8000</v>
      </c>
      <c r="I12" s="3" cm="1">
        <f t="array" ref="I12">fn연소득(C12,D12)</f>
        <v>8700</v>
      </c>
    </row>
    <row r="13" spans="1:9" x14ac:dyDescent="0.4">
      <c r="A13" s="2" t="s">
        <v>10</v>
      </c>
      <c r="B13" s="2" t="s">
        <v>3</v>
      </c>
      <c r="C13" s="1">
        <v>0.107</v>
      </c>
      <c r="D13" s="3">
        <v>10500</v>
      </c>
      <c r="E13" s="6">
        <v>42100</v>
      </c>
      <c r="F13" s="6">
        <v>43561</v>
      </c>
      <c r="G13" s="2" t="str">
        <f t="shared" si="0"/>
        <v>42,000천원</v>
      </c>
      <c r="H13" s="3">
        <f t="shared" si="1"/>
        <v>5000</v>
      </c>
      <c r="I13" s="3" cm="1">
        <f t="array" ref="I13">fn연소득(C13,D13)</f>
        <v>10500</v>
      </c>
    </row>
    <row r="14" spans="1:9" x14ac:dyDescent="0.4">
      <c r="A14" s="2" t="s">
        <v>14</v>
      </c>
      <c r="B14" s="2" t="s">
        <v>3</v>
      </c>
      <c r="C14" s="1">
        <v>0.19</v>
      </c>
      <c r="D14" s="3">
        <v>14100</v>
      </c>
      <c r="E14" s="6">
        <v>42212</v>
      </c>
      <c r="F14" s="6">
        <v>43673</v>
      </c>
      <c r="G14" s="2" t="str">
        <f t="shared" si="0"/>
        <v>56,400천원</v>
      </c>
      <c r="H14" s="3">
        <f t="shared" si="1"/>
        <v>7000</v>
      </c>
      <c r="I14" s="3" cm="1">
        <f t="array" ref="I14">fn연소득(C14,D14)</f>
        <v>14100</v>
      </c>
    </row>
    <row r="15" spans="1:9" x14ac:dyDescent="0.4">
      <c r="A15" s="2" t="s">
        <v>17</v>
      </c>
      <c r="B15" s="2" t="s">
        <v>5</v>
      </c>
      <c r="C15" s="1">
        <v>0.47</v>
      </c>
      <c r="D15" s="3">
        <v>10100</v>
      </c>
      <c r="E15" s="6">
        <v>43471</v>
      </c>
      <c r="F15" s="6">
        <v>44932</v>
      </c>
      <c r="G15" s="2" t="str">
        <f t="shared" si="0"/>
        <v>40,400천원</v>
      </c>
      <c r="H15" s="3">
        <f t="shared" si="1"/>
        <v>5000</v>
      </c>
      <c r="I15" s="3" cm="1">
        <f t="array" ref="I15">fn연소득(C15,D15)</f>
        <v>11100</v>
      </c>
    </row>
    <row r="16" spans="1:9" x14ac:dyDescent="0.4">
      <c r="A16" s="2" t="s">
        <v>13</v>
      </c>
      <c r="B16" s="2" t="s">
        <v>6</v>
      </c>
      <c r="C16" s="1">
        <v>0.20799999999999999</v>
      </c>
      <c r="D16" s="3">
        <v>8800</v>
      </c>
      <c r="E16" s="6">
        <v>43263</v>
      </c>
      <c r="F16" s="6">
        <v>44724</v>
      </c>
      <c r="G16" s="2" t="str">
        <f t="shared" si="0"/>
        <v>35,200천원</v>
      </c>
      <c r="H16" s="3">
        <f t="shared" si="1"/>
        <v>8000</v>
      </c>
      <c r="I16" s="3" cm="1">
        <f t="array" ref="I16">fn연소득(C16,D16)</f>
        <v>9300</v>
      </c>
    </row>
    <row r="17" spans="1:9" x14ac:dyDescent="0.4">
      <c r="A17" s="2" t="s">
        <v>12</v>
      </c>
      <c r="B17" s="2" t="s">
        <v>5</v>
      </c>
      <c r="C17" s="1">
        <v>0.40600000000000003</v>
      </c>
      <c r="D17" s="3">
        <v>6300</v>
      </c>
      <c r="E17" s="6">
        <v>43610</v>
      </c>
      <c r="F17" s="6">
        <v>45071</v>
      </c>
      <c r="G17" s="2" t="str">
        <f t="shared" si="0"/>
        <v>25,200천원</v>
      </c>
      <c r="H17" s="3">
        <f t="shared" si="1"/>
        <v>3000</v>
      </c>
      <c r="I17" s="3" cm="1">
        <f t="array" ref="I17">fn연소득(C17,D17)</f>
        <v>7300</v>
      </c>
    </row>
    <row r="18" spans="1:9" x14ac:dyDescent="0.4">
      <c r="A18" s="2" t="s">
        <v>8</v>
      </c>
      <c r="B18" s="2" t="s">
        <v>5</v>
      </c>
      <c r="C18" s="1">
        <v>0.255</v>
      </c>
      <c r="D18" s="3">
        <v>4900</v>
      </c>
      <c r="E18" s="6">
        <v>43051</v>
      </c>
      <c r="F18" s="6">
        <v>44512</v>
      </c>
      <c r="G18" s="2" t="str">
        <f t="shared" si="0"/>
        <v>19,600천원</v>
      </c>
      <c r="H18" s="3">
        <f t="shared" si="1"/>
        <v>4000</v>
      </c>
      <c r="I18" s="3" cm="1">
        <f t="array" ref="I18">fn연소득(C18,D18)</f>
        <v>5400</v>
      </c>
    </row>
    <row r="19" spans="1:9" x14ac:dyDescent="0.4">
      <c r="A19" s="2" t="s">
        <v>15</v>
      </c>
      <c r="B19" s="2" t="s">
        <v>7</v>
      </c>
      <c r="C19" s="1">
        <v>0.39</v>
      </c>
      <c r="D19" s="3">
        <v>6400</v>
      </c>
      <c r="E19" s="6">
        <v>42462</v>
      </c>
      <c r="F19" s="6">
        <v>43923</v>
      </c>
      <c r="G19" s="2" t="str">
        <f t="shared" si="0"/>
        <v>25,600천원</v>
      </c>
      <c r="H19" s="3">
        <f t="shared" si="1"/>
        <v>4000</v>
      </c>
      <c r="I19" s="3" cm="1">
        <f t="array" ref="I19">fn연소득(C19,D19)</f>
        <v>6900</v>
      </c>
    </row>
    <row r="20" spans="1:9" x14ac:dyDescent="0.4">
      <c r="A20" s="2" t="s">
        <v>16</v>
      </c>
      <c r="B20" s="2" t="s">
        <v>5</v>
      </c>
      <c r="C20" s="1">
        <v>0.39300000000000002</v>
      </c>
      <c r="D20" s="3">
        <v>5400</v>
      </c>
      <c r="E20" s="6">
        <v>42232</v>
      </c>
      <c r="F20" s="6">
        <v>43693</v>
      </c>
      <c r="G20" s="2" t="str">
        <f t="shared" si="0"/>
        <v>21,600천원</v>
      </c>
      <c r="H20" s="3">
        <f t="shared" si="1"/>
        <v>3000</v>
      </c>
      <c r="I20" s="3" cm="1">
        <f t="array" ref="I20">fn연소득(C20,D20)</f>
        <v>5900</v>
      </c>
    </row>
    <row r="21" spans="1:9" x14ac:dyDescent="0.4">
      <c r="A21" s="2" t="s">
        <v>13</v>
      </c>
      <c r="B21" s="2" t="s">
        <v>6</v>
      </c>
      <c r="C21" s="1">
        <v>0.16600000000000001</v>
      </c>
      <c r="D21" s="3">
        <v>7600</v>
      </c>
      <c r="E21" s="6">
        <v>43108</v>
      </c>
      <c r="F21" s="6">
        <v>44569</v>
      </c>
      <c r="G21" s="2" t="str">
        <f t="shared" si="0"/>
        <v>30,400천원</v>
      </c>
      <c r="H21" s="3">
        <f t="shared" si="1"/>
        <v>7000</v>
      </c>
      <c r="I21" s="3" cm="1">
        <f t="array" ref="I21">fn연소득(C21,D21)</f>
        <v>7600</v>
      </c>
    </row>
    <row r="22" spans="1:9" x14ac:dyDescent="0.4">
      <c r="A22" s="2" t="s">
        <v>16</v>
      </c>
      <c r="B22" s="2" t="s">
        <v>4</v>
      </c>
      <c r="C22" s="1">
        <v>0.55800000000000005</v>
      </c>
      <c r="D22" s="3">
        <v>5800</v>
      </c>
      <c r="E22" s="6">
        <v>43452</v>
      </c>
      <c r="F22" s="6">
        <v>44913</v>
      </c>
      <c r="G22" s="2" t="str">
        <f t="shared" si="0"/>
        <v>23,200천원</v>
      </c>
      <c r="H22" s="3">
        <f t="shared" si="1"/>
        <v>0</v>
      </c>
      <c r="I22" s="3" cm="1">
        <f t="array" ref="I22">fn연소득(C22,D22)</f>
        <v>6800</v>
      </c>
    </row>
    <row r="23" spans="1:9" x14ac:dyDescent="0.4">
      <c r="A23" s="2" t="s">
        <v>8</v>
      </c>
      <c r="B23" s="2" t="s">
        <v>6</v>
      </c>
      <c r="C23" s="1">
        <v>0.251</v>
      </c>
      <c r="D23" s="3">
        <v>8500</v>
      </c>
      <c r="E23" s="6">
        <v>42533</v>
      </c>
      <c r="F23" s="6">
        <v>43994</v>
      </c>
      <c r="G23" s="2" t="str">
        <f t="shared" si="0"/>
        <v>34,000천원</v>
      </c>
      <c r="H23" s="3">
        <f t="shared" si="1"/>
        <v>8000</v>
      </c>
      <c r="I23" s="3" cm="1">
        <f t="array" ref="I23">fn연소득(C23,D23)</f>
        <v>9000</v>
      </c>
    </row>
    <row r="24" spans="1:9" x14ac:dyDescent="0.4">
      <c r="A24" s="2" t="s">
        <v>15</v>
      </c>
      <c r="B24" s="2" t="s">
        <v>7</v>
      </c>
      <c r="C24" s="1">
        <v>0.27700000000000002</v>
      </c>
      <c r="D24" s="3">
        <v>12600</v>
      </c>
      <c r="E24" s="6">
        <v>42481</v>
      </c>
      <c r="F24" s="6">
        <v>43942</v>
      </c>
      <c r="G24" s="2" t="str">
        <f t="shared" si="0"/>
        <v>50,400천원</v>
      </c>
      <c r="H24" s="3">
        <f t="shared" si="1"/>
        <v>12000</v>
      </c>
      <c r="I24" s="3" cm="1">
        <f t="array" ref="I24">fn연소득(C24,D24)</f>
        <v>13100</v>
      </c>
    </row>
    <row r="26" spans="1:9" x14ac:dyDescent="0.4">
      <c r="A26" t="s">
        <v>30</v>
      </c>
      <c r="C26" t="s">
        <v>32</v>
      </c>
      <c r="F26" t="s">
        <v>34</v>
      </c>
    </row>
    <row r="27" spans="1:9" x14ac:dyDescent="0.4">
      <c r="A27" s="2" t="s">
        <v>2</v>
      </c>
      <c r="B27" s="16" t="s">
        <v>31</v>
      </c>
      <c r="C27" s="2" t="s">
        <v>2</v>
      </c>
      <c r="D27" s="16" t="s">
        <v>19</v>
      </c>
      <c r="E27" s="16" t="s">
        <v>33</v>
      </c>
      <c r="F27" s="25" t="s">
        <v>28</v>
      </c>
      <c r="G27" s="25"/>
      <c r="H27" s="25" t="s">
        <v>29</v>
      </c>
      <c r="I27" s="25"/>
    </row>
    <row r="28" spans="1:9" x14ac:dyDescent="0.4">
      <c r="A28" s="2" t="s">
        <v>4</v>
      </c>
      <c r="B28" s="3">
        <f t="array" ref="B28">AVERAGE(IF(($B$3:$B$24=$A28)*(LEFT($A$3:$A$24,2)&lt;&gt;"서울"),$D$3:$D$24))</f>
        <v>7250</v>
      </c>
      <c r="C28" s="2" t="s">
        <v>4</v>
      </c>
      <c r="D28" s="1">
        <f t="array" ref="D28">INDEX(C$3:C$24,MATCH(MAX(($B$3:$B$24=$C28)*C$3:C$24),($B$3:$B$24=$C28)*C$3:C$24,0))</f>
        <v>0.55800000000000005</v>
      </c>
      <c r="E28" s="1">
        <f t="array" ref="E28">INDEX(D$3:D$24,MATCH(MAX(($B$3:$B$24=$C28)*D$3:D$24),($B$3:$B$24=$C28)*D$3:D$24,0))</f>
        <v>13900</v>
      </c>
      <c r="F28" s="17" t="s">
        <v>26</v>
      </c>
      <c r="G28" s="17" t="s">
        <v>61</v>
      </c>
      <c r="H28" s="17" t="s">
        <v>27</v>
      </c>
      <c r="I28" s="17" t="s">
        <v>62</v>
      </c>
    </row>
    <row r="29" spans="1:9" x14ac:dyDescent="0.4">
      <c r="A29" s="2" t="s">
        <v>3</v>
      </c>
      <c r="B29" s="3">
        <f t="array" ref="B29">AVERAGE(IF(($B$3:$B$24=$A29)*(LEFT($A$3:$A$24,2)&lt;&gt;"서울"),$D$3:$D$24))</f>
        <v>10900</v>
      </c>
      <c r="C29" s="2" t="s">
        <v>3</v>
      </c>
      <c r="D29" s="1">
        <f t="array" ref="D29">INDEX(C$3:C$24,MATCH(MAX(($B$3:$B$24=$C29)*C$3:C$24),($B$3:$B$24=$C29)*C$3:C$24,0))</f>
        <v>0.23499999999999999</v>
      </c>
      <c r="E29" s="1">
        <f t="array" ref="E29">INDEX(D$3:D$24,MATCH(MAX(($B$3:$B$24=$C29)*D$3:D$24),($B$3:$B$24=$C29)*D$3:D$24,0))</f>
        <v>14100</v>
      </c>
      <c r="F29" s="18">
        <v>0</v>
      </c>
      <c r="G29" s="19">
        <v>1</v>
      </c>
      <c r="H29" s="18">
        <v>0</v>
      </c>
      <c r="I29" s="19">
        <v>0</v>
      </c>
    </row>
    <row r="30" spans="1:9" x14ac:dyDescent="0.4">
      <c r="A30" s="2" t="s">
        <v>6</v>
      </c>
      <c r="B30" s="3">
        <f t="array" ref="B30">AVERAGE(IF(($B$3:$B$24=$A30)*(LEFT($A$3:$A$24,2)&lt;&gt;"서울"),$D$3:$D$24))</f>
        <v>10300</v>
      </c>
      <c r="C30" s="2" t="s">
        <v>6</v>
      </c>
      <c r="D30" s="1">
        <f t="array" ref="D30">INDEX(C$3:C$24,MATCH(MAX(($B$3:$B$24=$C30)*C$3:C$24),($B$3:$B$24=$C30)*C$3:C$24,0))</f>
        <v>0.35599999999999998</v>
      </c>
      <c r="E30" s="1">
        <f t="array" ref="E30">INDEX(D$3:D$24,MATCH(MAX(($B$3:$B$24=$C30)*D$3:D$24),($B$3:$B$24=$C30)*D$3:D$24,0))</f>
        <v>14500</v>
      </c>
      <c r="F30" s="18">
        <v>0.1</v>
      </c>
      <c r="G30" s="19">
        <v>0.5</v>
      </c>
      <c r="H30" s="18">
        <v>0.3</v>
      </c>
      <c r="I30" s="19">
        <v>0.3</v>
      </c>
    </row>
    <row r="31" spans="1:9" x14ac:dyDescent="0.4">
      <c r="A31" s="2" t="s">
        <v>5</v>
      </c>
      <c r="B31" s="3">
        <f t="array" ref="B31">AVERAGE(IF(($B$3:$B$24=$A31)*(LEFT($A$3:$A$24,2)&lt;&gt;"서울"),$D$3:$D$24))</f>
        <v>7500</v>
      </c>
      <c r="C31" s="2" t="s">
        <v>5</v>
      </c>
      <c r="D31" s="1">
        <f t="array" ref="D31">INDEX(C$3:C$24,MATCH(MAX(($B$3:$B$24=$C31)*C$3:C$24),($B$3:$B$24=$C31)*C$3:C$24,0))</f>
        <v>0.47</v>
      </c>
      <c r="E31" s="1">
        <f t="array" ref="E31">INDEX(D$3:D$24,MATCH(MAX(($B$3:$B$24=$C31)*D$3:D$24),($B$3:$B$24=$C31)*D$3:D$24,0))</f>
        <v>10100</v>
      </c>
      <c r="F31" s="18">
        <v>0.2</v>
      </c>
      <c r="G31" s="19">
        <v>0.3</v>
      </c>
      <c r="H31" s="18">
        <v>0.4</v>
      </c>
      <c r="I31" s="19">
        <v>0.5</v>
      </c>
    </row>
    <row r="32" spans="1:9" x14ac:dyDescent="0.4">
      <c r="F32" s="18">
        <v>0.3</v>
      </c>
      <c r="G32" s="19">
        <v>0</v>
      </c>
      <c r="H32" s="18">
        <v>0.5</v>
      </c>
      <c r="I32" s="19">
        <v>1</v>
      </c>
    </row>
  </sheetData>
  <mergeCells count="2">
    <mergeCell ref="F27:G27"/>
    <mergeCell ref="H27:I27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D8C31-9E02-4A20-952E-9B6A668F370E}">
  <sheetPr codeName="Sheet4"/>
  <dimension ref="A1:F7"/>
  <sheetViews>
    <sheetView workbookViewId="0">
      <selection activeCell="H6" sqref="H6"/>
    </sheetView>
  </sheetViews>
  <sheetFormatPr defaultRowHeight="17.399999999999999" x14ac:dyDescent="0.4"/>
  <cols>
    <col min="4" max="4" width="11.59765625" customWidth="1"/>
  </cols>
  <sheetData>
    <row r="1" spans="1:6" x14ac:dyDescent="0.4">
      <c r="A1" t="s">
        <v>82</v>
      </c>
      <c r="B1" t="s">
        <v>75</v>
      </c>
      <c r="C1" t="s">
        <v>83</v>
      </c>
      <c r="D1" t="s">
        <v>85</v>
      </c>
      <c r="E1" t="s">
        <v>86</v>
      </c>
      <c r="F1" t="s">
        <v>87</v>
      </c>
    </row>
    <row r="2" spans="1:6" x14ac:dyDescent="0.4">
      <c r="A2">
        <v>104</v>
      </c>
      <c r="B2">
        <v>501</v>
      </c>
      <c r="C2">
        <v>142</v>
      </c>
      <c r="D2">
        <v>340540</v>
      </c>
      <c r="E2">
        <v>11390</v>
      </c>
      <c r="F2">
        <v>25750</v>
      </c>
    </row>
    <row r="3" spans="1:6" x14ac:dyDescent="0.4">
      <c r="A3">
        <v>104</v>
      </c>
      <c r="B3">
        <v>602</v>
      </c>
      <c r="C3">
        <v>142</v>
      </c>
      <c r="D3">
        <v>73850</v>
      </c>
      <c r="E3">
        <v>65660</v>
      </c>
      <c r="F3">
        <v>6300</v>
      </c>
    </row>
    <row r="4" spans="1:6" x14ac:dyDescent="0.4">
      <c r="A4">
        <v>104</v>
      </c>
      <c r="B4">
        <v>501</v>
      </c>
      <c r="C4">
        <v>142</v>
      </c>
      <c r="D4">
        <v>154790</v>
      </c>
      <c r="E4">
        <v>21850</v>
      </c>
      <c r="F4">
        <v>17470</v>
      </c>
    </row>
    <row r="5" spans="1:6" x14ac:dyDescent="0.4">
      <c r="A5">
        <v>104</v>
      </c>
      <c r="B5">
        <v>102</v>
      </c>
      <c r="C5">
        <v>142</v>
      </c>
      <c r="D5">
        <v>225790</v>
      </c>
      <c r="E5">
        <v>44350</v>
      </c>
      <c r="F5">
        <v>6650</v>
      </c>
    </row>
    <row r="6" spans="1:6" x14ac:dyDescent="0.4">
      <c r="A6">
        <v>104</v>
      </c>
      <c r="B6">
        <v>402</v>
      </c>
      <c r="C6">
        <v>142</v>
      </c>
      <c r="D6">
        <v>559020</v>
      </c>
      <c r="E6">
        <v>52880</v>
      </c>
      <c r="F6">
        <v>6820</v>
      </c>
    </row>
    <row r="7" spans="1:6" x14ac:dyDescent="0.4">
      <c r="A7">
        <v>104</v>
      </c>
      <c r="B7">
        <v>302</v>
      </c>
      <c r="C7">
        <v>142</v>
      </c>
      <c r="D7">
        <v>177240</v>
      </c>
      <c r="E7">
        <v>55780</v>
      </c>
      <c r="F7">
        <v>21680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1:H18"/>
  <sheetViews>
    <sheetView zoomScaleNormal="100" workbookViewId="0">
      <selection activeCell="G6" sqref="G6"/>
    </sheetView>
  </sheetViews>
  <sheetFormatPr defaultRowHeight="17.399999999999999" x14ac:dyDescent="0.4"/>
  <cols>
    <col min="1" max="1" width="5.5" customWidth="1"/>
    <col min="2" max="2" width="20.796875" bestFit="1" customWidth="1"/>
    <col min="3" max="3" width="16.09765625" bestFit="1" customWidth="1"/>
    <col min="4" max="8" width="8.3984375" bestFit="1" customWidth="1"/>
    <col min="9" max="9" width="16.19921875" bestFit="1" customWidth="1"/>
    <col min="10" max="10" width="10.296875" bestFit="1" customWidth="1"/>
    <col min="11" max="11" width="20.796875" bestFit="1" customWidth="1"/>
    <col min="12" max="12" width="14.8984375" bestFit="1" customWidth="1"/>
  </cols>
  <sheetData>
    <row r="1" spans="2:8" x14ac:dyDescent="0.4">
      <c r="B1" s="22" t="s">
        <v>75</v>
      </c>
      <c r="C1" t="s">
        <v>76</v>
      </c>
    </row>
    <row r="3" spans="2:8" x14ac:dyDescent="0.4">
      <c r="D3" s="22" t="s">
        <v>82</v>
      </c>
    </row>
    <row r="4" spans="2:8" x14ac:dyDescent="0.4">
      <c r="B4" s="22" t="s">
        <v>83</v>
      </c>
      <c r="C4" s="22" t="s">
        <v>84</v>
      </c>
      <c r="D4">
        <v>101</v>
      </c>
      <c r="E4">
        <v>102</v>
      </c>
      <c r="F4">
        <v>103</v>
      </c>
      <c r="G4">
        <v>104</v>
      </c>
      <c r="H4" t="s">
        <v>77</v>
      </c>
    </row>
    <row r="5" spans="2:8" x14ac:dyDescent="0.4">
      <c r="B5">
        <v>142</v>
      </c>
    </row>
    <row r="6" spans="2:8" x14ac:dyDescent="0.4">
      <c r="C6" t="s">
        <v>78</v>
      </c>
      <c r="G6">
        <v>1531230</v>
      </c>
      <c r="H6">
        <v>1531230</v>
      </c>
    </row>
    <row r="7" spans="2:8" x14ac:dyDescent="0.4">
      <c r="C7" t="s">
        <v>81</v>
      </c>
      <c r="D7">
        <v>0</v>
      </c>
      <c r="E7">
        <v>0</v>
      </c>
      <c r="F7">
        <v>0</v>
      </c>
      <c r="G7">
        <v>1867810</v>
      </c>
      <c r="H7">
        <v>1867810</v>
      </c>
    </row>
    <row r="8" spans="2:8" x14ac:dyDescent="0.4">
      <c r="B8">
        <v>108</v>
      </c>
    </row>
    <row r="9" spans="2:8" x14ac:dyDescent="0.4">
      <c r="C9" t="s">
        <v>78</v>
      </c>
      <c r="F9">
        <v>609530</v>
      </c>
      <c r="H9">
        <v>609530</v>
      </c>
    </row>
    <row r="10" spans="2:8" x14ac:dyDescent="0.4">
      <c r="C10" t="s">
        <v>81</v>
      </c>
      <c r="D10">
        <v>0</v>
      </c>
      <c r="E10">
        <v>0</v>
      </c>
      <c r="F10">
        <v>871610</v>
      </c>
      <c r="G10">
        <v>0</v>
      </c>
      <c r="H10">
        <v>871610</v>
      </c>
    </row>
    <row r="11" spans="2:8" x14ac:dyDescent="0.4">
      <c r="B11">
        <v>86</v>
      </c>
    </row>
    <row r="12" spans="2:8" x14ac:dyDescent="0.4">
      <c r="C12" t="s">
        <v>78</v>
      </c>
      <c r="E12">
        <v>324150</v>
      </c>
      <c r="H12">
        <v>324150</v>
      </c>
    </row>
    <row r="13" spans="2:8" x14ac:dyDescent="0.4">
      <c r="C13" t="s">
        <v>81</v>
      </c>
      <c r="D13">
        <v>0</v>
      </c>
      <c r="E13">
        <v>619580</v>
      </c>
      <c r="F13">
        <v>0</v>
      </c>
      <c r="G13">
        <v>0</v>
      </c>
      <c r="H13">
        <v>619580</v>
      </c>
    </row>
    <row r="14" spans="2:8" x14ac:dyDescent="0.4">
      <c r="B14">
        <v>78</v>
      </c>
    </row>
    <row r="15" spans="2:8" x14ac:dyDescent="0.4">
      <c r="C15" t="s">
        <v>78</v>
      </c>
      <c r="D15">
        <v>147930</v>
      </c>
      <c r="H15">
        <v>147930</v>
      </c>
    </row>
    <row r="16" spans="2:8" x14ac:dyDescent="0.4">
      <c r="C16" t="s">
        <v>81</v>
      </c>
      <c r="D16">
        <v>389540</v>
      </c>
      <c r="E16">
        <v>0</v>
      </c>
      <c r="F16">
        <v>0</v>
      </c>
      <c r="G16">
        <v>0</v>
      </c>
      <c r="H16">
        <v>389540</v>
      </c>
    </row>
    <row r="17" spans="2:8" x14ac:dyDescent="0.4">
      <c r="B17" t="s">
        <v>79</v>
      </c>
      <c r="D17">
        <v>147930</v>
      </c>
      <c r="E17">
        <v>324150</v>
      </c>
      <c r="F17">
        <v>609530</v>
      </c>
      <c r="G17">
        <v>1531230</v>
      </c>
      <c r="H17">
        <v>2612840</v>
      </c>
    </row>
    <row r="18" spans="2:8" x14ac:dyDescent="0.4">
      <c r="B18" t="s">
        <v>80</v>
      </c>
      <c r="D18">
        <v>389540</v>
      </c>
      <c r="E18">
        <v>619580</v>
      </c>
      <c r="F18">
        <v>871610</v>
      </c>
      <c r="G18">
        <v>1867810</v>
      </c>
      <c r="H18">
        <v>3748540</v>
      </c>
    </row>
  </sheetData>
  <phoneticPr fontId="1" type="noConversion"/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G25"/>
  <sheetViews>
    <sheetView workbookViewId="0">
      <selection activeCell="H11" sqref="H11"/>
    </sheetView>
  </sheetViews>
  <sheetFormatPr defaultRowHeight="17.399999999999999" outlineLevelRow="3" x14ac:dyDescent="0.4"/>
  <cols>
    <col min="1" max="1" width="3.09765625" customWidth="1"/>
    <col min="4" max="4" width="9.59765625" customWidth="1"/>
    <col min="5" max="5" width="12.19921875" customWidth="1"/>
    <col min="6" max="6" width="10.3984375" customWidth="1"/>
  </cols>
  <sheetData>
    <row r="2" spans="2:7" x14ac:dyDescent="0.4">
      <c r="B2" s="4" t="s">
        <v>37</v>
      </c>
      <c r="C2" s="4" t="s">
        <v>38</v>
      </c>
      <c r="D2" s="4" t="s">
        <v>39</v>
      </c>
      <c r="E2" s="4" t="s">
        <v>40</v>
      </c>
      <c r="F2" s="4" t="s">
        <v>41</v>
      </c>
      <c r="G2" s="4" t="s">
        <v>42</v>
      </c>
    </row>
    <row r="3" spans="2:7" outlineLevel="3" x14ac:dyDescent="0.4">
      <c r="B3" s="4">
        <v>101</v>
      </c>
      <c r="C3" s="4">
        <v>501</v>
      </c>
      <c r="D3" s="4">
        <v>78</v>
      </c>
      <c r="E3" s="12">
        <v>35140</v>
      </c>
      <c r="F3" s="12">
        <v>77190</v>
      </c>
      <c r="G3" s="12">
        <v>23270</v>
      </c>
    </row>
    <row r="4" spans="2:7" outlineLevel="3" x14ac:dyDescent="0.4">
      <c r="B4" s="4">
        <v>101</v>
      </c>
      <c r="C4" s="4">
        <v>301</v>
      </c>
      <c r="D4" s="4">
        <v>78</v>
      </c>
      <c r="E4" s="12">
        <v>54010</v>
      </c>
      <c r="F4" s="12">
        <v>54630</v>
      </c>
      <c r="G4" s="12">
        <v>28870</v>
      </c>
    </row>
    <row r="5" spans="2:7" outlineLevel="3" x14ac:dyDescent="0.4">
      <c r="B5" s="4">
        <v>101</v>
      </c>
      <c r="C5" s="4">
        <v>102</v>
      </c>
      <c r="D5" s="4">
        <v>78</v>
      </c>
      <c r="E5" s="12">
        <v>15240</v>
      </c>
      <c r="F5" s="12">
        <v>13990</v>
      </c>
      <c r="G5" s="12">
        <v>12850</v>
      </c>
    </row>
    <row r="6" spans="2:7" outlineLevel="3" x14ac:dyDescent="0.4">
      <c r="B6" s="4">
        <v>101</v>
      </c>
      <c r="C6" s="4">
        <v>202</v>
      </c>
      <c r="D6" s="4">
        <v>78</v>
      </c>
      <c r="E6" s="12">
        <v>20140</v>
      </c>
      <c r="F6" s="12">
        <v>43630</v>
      </c>
      <c r="G6" s="12">
        <v>11960</v>
      </c>
    </row>
    <row r="7" spans="2:7" outlineLevel="3" x14ac:dyDescent="0.4">
      <c r="B7" s="4">
        <v>101</v>
      </c>
      <c r="C7" s="4">
        <v>101</v>
      </c>
      <c r="D7" s="4">
        <v>78</v>
      </c>
      <c r="E7" s="12">
        <v>23400</v>
      </c>
      <c r="F7" s="12">
        <v>69350</v>
      </c>
      <c r="G7" s="12">
        <v>18460</v>
      </c>
    </row>
    <row r="8" spans="2:7" outlineLevel="2" x14ac:dyDescent="0.4">
      <c r="B8" s="4"/>
      <c r="C8" s="4"/>
      <c r="D8" s="23" t="s">
        <v>92</v>
      </c>
      <c r="E8" s="12">
        <f>SUBTOTAL(4,E3:E7)</f>
        <v>54010</v>
      </c>
      <c r="F8" s="12"/>
      <c r="G8" s="12"/>
    </row>
    <row r="9" spans="2:7" outlineLevel="1" x14ac:dyDescent="0.4">
      <c r="B9" s="4"/>
      <c r="C9" s="4"/>
      <c r="D9" s="23" t="s">
        <v>88</v>
      </c>
      <c r="E9" s="12">
        <f>SUBTOTAL(1,E3:E7)</f>
        <v>29586</v>
      </c>
      <c r="F9" s="12"/>
      <c r="G9" s="12"/>
    </row>
    <row r="10" spans="2:7" outlineLevel="3" x14ac:dyDescent="0.4">
      <c r="B10" s="4">
        <v>102</v>
      </c>
      <c r="C10" s="4">
        <v>102</v>
      </c>
      <c r="D10" s="4">
        <v>86</v>
      </c>
      <c r="E10" s="12">
        <v>25910</v>
      </c>
      <c r="F10" s="12">
        <v>18340</v>
      </c>
      <c r="G10" s="12">
        <v>25460</v>
      </c>
    </row>
    <row r="11" spans="2:7" outlineLevel="3" x14ac:dyDescent="0.4">
      <c r="B11" s="4">
        <v>102</v>
      </c>
      <c r="C11" s="4">
        <v>701</v>
      </c>
      <c r="D11" s="4">
        <v>86</v>
      </c>
      <c r="E11" s="12">
        <v>49140</v>
      </c>
      <c r="F11" s="12">
        <v>14510</v>
      </c>
      <c r="G11" s="12">
        <v>22260</v>
      </c>
    </row>
    <row r="12" spans="2:7" outlineLevel="3" x14ac:dyDescent="0.4">
      <c r="B12" s="4">
        <v>102</v>
      </c>
      <c r="C12" s="4">
        <v>402</v>
      </c>
      <c r="D12" s="4">
        <v>86</v>
      </c>
      <c r="E12" s="12">
        <v>40280</v>
      </c>
      <c r="F12" s="12">
        <v>62010</v>
      </c>
      <c r="G12" s="12">
        <v>24230</v>
      </c>
    </row>
    <row r="13" spans="2:7" outlineLevel="3" x14ac:dyDescent="0.4">
      <c r="B13" s="4">
        <v>102</v>
      </c>
      <c r="C13" s="4">
        <v>201</v>
      </c>
      <c r="D13" s="4">
        <v>86</v>
      </c>
      <c r="E13" s="12">
        <v>73790</v>
      </c>
      <c r="F13" s="12">
        <v>22150</v>
      </c>
      <c r="G13" s="12">
        <v>10590</v>
      </c>
    </row>
    <row r="14" spans="2:7" outlineLevel="3" x14ac:dyDescent="0.4">
      <c r="B14" s="4">
        <v>102</v>
      </c>
      <c r="C14" s="4">
        <v>501</v>
      </c>
      <c r="D14" s="4">
        <v>86</v>
      </c>
      <c r="E14" s="12">
        <v>135030</v>
      </c>
      <c r="F14" s="12">
        <v>62210</v>
      </c>
      <c r="G14" s="12">
        <v>25620</v>
      </c>
    </row>
    <row r="15" spans="2:7" outlineLevel="2" x14ac:dyDescent="0.4">
      <c r="B15" s="4"/>
      <c r="C15" s="4"/>
      <c r="D15" s="23" t="s">
        <v>93</v>
      </c>
      <c r="E15" s="12">
        <f>SUBTOTAL(4,E10:E14)</f>
        <v>135030</v>
      </c>
      <c r="F15" s="12"/>
      <c r="G15" s="12"/>
    </row>
    <row r="16" spans="2:7" outlineLevel="1" x14ac:dyDescent="0.4">
      <c r="B16" s="4"/>
      <c r="C16" s="4"/>
      <c r="D16" s="23" t="s">
        <v>89</v>
      </c>
      <c r="E16" s="12">
        <f>SUBTOTAL(1,E10:E14)</f>
        <v>64830</v>
      </c>
      <c r="F16" s="12"/>
      <c r="G16" s="12"/>
    </row>
    <row r="17" spans="2:7" outlineLevel="3" x14ac:dyDescent="0.4">
      <c r="B17" s="4">
        <v>103</v>
      </c>
      <c r="C17" s="4">
        <v>402</v>
      </c>
      <c r="D17" s="4">
        <v>108</v>
      </c>
      <c r="E17" s="12">
        <v>88620</v>
      </c>
      <c r="F17" s="12">
        <v>43640</v>
      </c>
      <c r="G17" s="12">
        <v>21050</v>
      </c>
    </row>
    <row r="18" spans="2:7" outlineLevel="3" x14ac:dyDescent="0.4">
      <c r="B18" s="4">
        <v>103</v>
      </c>
      <c r="C18" s="4">
        <v>201</v>
      </c>
      <c r="D18" s="4">
        <v>108</v>
      </c>
      <c r="E18" s="12">
        <v>125440</v>
      </c>
      <c r="F18" s="12">
        <v>14710</v>
      </c>
      <c r="G18" s="12">
        <v>29280</v>
      </c>
    </row>
    <row r="19" spans="2:7" outlineLevel="3" x14ac:dyDescent="0.4">
      <c r="B19" s="4">
        <v>103</v>
      </c>
      <c r="C19" s="4">
        <v>501</v>
      </c>
      <c r="D19" s="4">
        <v>108</v>
      </c>
      <c r="E19" s="12">
        <v>243050</v>
      </c>
      <c r="F19" s="12">
        <v>7920</v>
      </c>
      <c r="G19" s="12">
        <v>25320</v>
      </c>
    </row>
    <row r="20" spans="2:7" outlineLevel="3" x14ac:dyDescent="0.4">
      <c r="B20" s="4">
        <v>103</v>
      </c>
      <c r="C20" s="4">
        <v>701</v>
      </c>
      <c r="D20" s="4">
        <v>108</v>
      </c>
      <c r="E20" s="12">
        <v>103190</v>
      </c>
      <c r="F20" s="12">
        <v>21420</v>
      </c>
      <c r="G20" s="12">
        <v>21660</v>
      </c>
    </row>
    <row r="21" spans="2:7" outlineLevel="3" x14ac:dyDescent="0.4">
      <c r="B21" s="4">
        <v>103</v>
      </c>
      <c r="C21" s="4">
        <v>102</v>
      </c>
      <c r="D21" s="4">
        <v>108</v>
      </c>
      <c r="E21" s="12">
        <v>49230</v>
      </c>
      <c r="F21" s="12">
        <v>56530</v>
      </c>
      <c r="G21" s="12">
        <v>5010</v>
      </c>
    </row>
    <row r="22" spans="2:7" outlineLevel="2" x14ac:dyDescent="0.4">
      <c r="B22" s="4"/>
      <c r="C22" s="4"/>
      <c r="D22" s="23" t="s">
        <v>94</v>
      </c>
      <c r="E22" s="12">
        <f>SUBTOTAL(4,E17:E21)</f>
        <v>243050</v>
      </c>
      <c r="F22" s="12"/>
      <c r="G22" s="12"/>
    </row>
    <row r="23" spans="2:7" outlineLevel="1" x14ac:dyDescent="0.4">
      <c r="B23" s="4"/>
      <c r="C23" s="4"/>
      <c r="D23" s="23" t="s">
        <v>90</v>
      </c>
      <c r="E23" s="12">
        <f>SUBTOTAL(1,E17:E21)</f>
        <v>121906</v>
      </c>
      <c r="F23" s="12"/>
      <c r="G23" s="12"/>
    </row>
    <row r="24" spans="2:7" x14ac:dyDescent="0.4">
      <c r="B24" s="4"/>
      <c r="C24" s="4"/>
      <c r="D24" s="23" t="s">
        <v>95</v>
      </c>
      <c r="E24" s="12">
        <f>SUBTOTAL(4,E3:E21)</f>
        <v>243050</v>
      </c>
      <c r="F24" s="12"/>
      <c r="G24" s="12"/>
    </row>
    <row r="25" spans="2:7" x14ac:dyDescent="0.4">
      <c r="B25" s="4"/>
      <c r="C25" s="4"/>
      <c r="D25" s="23" t="s">
        <v>91</v>
      </c>
      <c r="E25" s="12">
        <f>SUBTOTAL(1,E3:E21)</f>
        <v>72107.333333333328</v>
      </c>
      <c r="F25" s="12"/>
      <c r="G25" s="12"/>
    </row>
  </sheetData>
  <sortState xmlns:xlrd2="http://schemas.microsoft.com/office/spreadsheetml/2017/richdata2" ref="B3:G21">
    <sortCondition ref="D3:D21"/>
  </sortState>
  <phoneticPr fontId="1" type="noConversion"/>
  <dataValidations count="1">
    <dataValidation type="custom" allowBlank="1" showInputMessage="1" showErrorMessage="1" promptTitle="입력범위" prompt="3.3으로 나눈 값이 34 이하인 경우만 입력하세요." sqref="D10:D14 D3:D7 D17:D21" xr:uid="{F307104E-CE53-44CE-B07B-8C2FD5D2D2C2}">
      <formula1>QUOTIENT(D3,3.3) &lt;= 34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2:F7"/>
  <sheetViews>
    <sheetView workbookViewId="0">
      <selection activeCell="H5" sqref="H5"/>
    </sheetView>
  </sheetViews>
  <sheetFormatPr defaultRowHeight="17.399999999999999" x14ac:dyDescent="0.4"/>
  <cols>
    <col min="2" max="2" width="11" bestFit="1" customWidth="1"/>
    <col min="3" max="3" width="9.5" bestFit="1" customWidth="1"/>
    <col min="4" max="5" width="9.3984375" bestFit="1" customWidth="1"/>
    <col min="6" max="6" width="10.69921875" customWidth="1"/>
  </cols>
  <sheetData>
    <row r="2" spans="2:6" x14ac:dyDescent="0.4">
      <c r="B2" s="4" t="s">
        <v>43</v>
      </c>
      <c r="C2" s="4" t="s">
        <v>49</v>
      </c>
      <c r="D2" s="4" t="s">
        <v>50</v>
      </c>
      <c r="E2" s="4" t="s">
        <v>52</v>
      </c>
      <c r="F2" s="4" t="s">
        <v>53</v>
      </c>
    </row>
    <row r="3" spans="2:6" x14ac:dyDescent="0.4">
      <c r="B3" t="s">
        <v>45</v>
      </c>
      <c r="C3" s="5">
        <v>950000</v>
      </c>
      <c r="D3" s="5">
        <v>234000</v>
      </c>
      <c r="E3" s="5">
        <v>520250</v>
      </c>
      <c r="F3" s="13">
        <f>E3/SUM(C3:E3)</f>
        <v>0.30526624614933257</v>
      </c>
    </row>
    <row r="4" spans="2:6" x14ac:dyDescent="0.4">
      <c r="B4" t="s">
        <v>44</v>
      </c>
      <c r="C4" s="5">
        <v>790000</v>
      </c>
      <c r="D4" s="5">
        <v>250000</v>
      </c>
      <c r="E4" s="5">
        <v>367550</v>
      </c>
      <c r="F4" s="13">
        <f t="shared" ref="F4:F7" si="0">E4/SUM(C4:E4)</f>
        <v>0.26112749103051403</v>
      </c>
    </row>
    <row r="5" spans="2:6" x14ac:dyDescent="0.4">
      <c r="B5" t="s">
        <v>46</v>
      </c>
      <c r="C5" s="5">
        <v>320000</v>
      </c>
      <c r="D5" s="5">
        <v>95000</v>
      </c>
      <c r="E5" s="5">
        <v>194950</v>
      </c>
      <c r="F5" s="13">
        <f t="shared" si="0"/>
        <v>0.31961636199688498</v>
      </c>
    </row>
    <row r="6" spans="2:6" x14ac:dyDescent="0.4">
      <c r="B6" t="s">
        <v>48</v>
      </c>
      <c r="C6" s="5">
        <v>687000</v>
      </c>
      <c r="D6" s="5">
        <v>210000</v>
      </c>
      <c r="E6" s="5">
        <v>540000</v>
      </c>
      <c r="F6" s="13">
        <f t="shared" si="0"/>
        <v>0.37578288100208768</v>
      </c>
    </row>
    <row r="7" spans="2:6" x14ac:dyDescent="0.4">
      <c r="B7" t="s">
        <v>47</v>
      </c>
      <c r="C7" s="5">
        <v>850000</v>
      </c>
      <c r="D7" s="5">
        <v>130000</v>
      </c>
      <c r="E7" s="5">
        <v>320000</v>
      </c>
      <c r="F7" s="13">
        <f t="shared" si="0"/>
        <v>0.24615384615384617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G22"/>
  <sheetViews>
    <sheetView tabSelected="1" workbookViewId="0">
      <selection activeCell="I7" sqref="I7"/>
    </sheetView>
  </sheetViews>
  <sheetFormatPr defaultRowHeight="17.399999999999999" x14ac:dyDescent="0.4"/>
  <cols>
    <col min="1" max="1" width="3.09765625" customWidth="1"/>
    <col min="2" max="2" width="11" bestFit="1" customWidth="1"/>
    <col min="3" max="3" width="8.5" customWidth="1"/>
    <col min="4" max="4" width="10.8984375" bestFit="1" customWidth="1"/>
    <col min="5" max="5" width="9.59765625" customWidth="1"/>
    <col min="6" max="6" width="9.3984375" bestFit="1" customWidth="1"/>
    <col min="7" max="7" width="9.59765625" customWidth="1"/>
    <col min="8" max="8" width="4.19921875" customWidth="1"/>
    <col min="9" max="10" width="7.8984375" customWidth="1"/>
  </cols>
  <sheetData>
    <row r="2" spans="2:7" x14ac:dyDescent="0.4">
      <c r="B2" s="16" t="s">
        <v>43</v>
      </c>
      <c r="C2" s="16" t="s">
        <v>51</v>
      </c>
      <c r="D2" s="16" t="s">
        <v>49</v>
      </c>
      <c r="E2" s="16" t="s">
        <v>50</v>
      </c>
      <c r="F2" s="16" t="s">
        <v>52</v>
      </c>
      <c r="G2" s="16" t="s">
        <v>53</v>
      </c>
    </row>
    <row r="3" spans="2:7" x14ac:dyDescent="0.4">
      <c r="B3" s="2" t="s">
        <v>45</v>
      </c>
      <c r="C3" s="2" t="s">
        <v>54</v>
      </c>
      <c r="D3" s="3">
        <v>190000</v>
      </c>
      <c r="E3" s="3">
        <v>22600</v>
      </c>
      <c r="F3" s="3">
        <v>51600</v>
      </c>
      <c r="G3" s="24">
        <v>0.2</v>
      </c>
    </row>
    <row r="4" spans="2:7" x14ac:dyDescent="0.4">
      <c r="B4" s="2" t="s">
        <v>46</v>
      </c>
      <c r="C4" s="2" t="s">
        <v>57</v>
      </c>
      <c r="D4" s="3">
        <v>876000</v>
      </c>
      <c r="E4" s="3">
        <v>119400</v>
      </c>
      <c r="F4" s="3">
        <v>356400</v>
      </c>
      <c r="G4" s="24">
        <v>0.26</v>
      </c>
    </row>
    <row r="5" spans="2:7" x14ac:dyDescent="0.4">
      <c r="B5" s="2" t="s">
        <v>48</v>
      </c>
      <c r="C5" s="2" t="s">
        <v>55</v>
      </c>
      <c r="D5" s="3">
        <v>663000</v>
      </c>
      <c r="E5" s="3">
        <v>27300</v>
      </c>
      <c r="F5" s="3">
        <v>130500</v>
      </c>
      <c r="G5" s="24">
        <v>0.16</v>
      </c>
    </row>
    <row r="6" spans="2:7" x14ac:dyDescent="0.4">
      <c r="B6" s="2" t="s">
        <v>44</v>
      </c>
      <c r="C6" s="2" t="s">
        <v>58</v>
      </c>
      <c r="D6" s="3">
        <v>632000</v>
      </c>
      <c r="E6" s="3">
        <v>159000</v>
      </c>
      <c r="F6" s="3">
        <v>81000</v>
      </c>
      <c r="G6" s="24">
        <v>0.09</v>
      </c>
    </row>
    <row r="7" spans="2:7" x14ac:dyDescent="0.4">
      <c r="B7" s="2" t="s">
        <v>44</v>
      </c>
      <c r="C7" s="2" t="s">
        <v>54</v>
      </c>
      <c r="D7" s="3">
        <v>195000</v>
      </c>
      <c r="E7" s="3">
        <v>14200</v>
      </c>
      <c r="F7" s="3">
        <v>54900</v>
      </c>
      <c r="G7" s="24">
        <v>0.21</v>
      </c>
    </row>
    <row r="8" spans="2:7" x14ac:dyDescent="0.4">
      <c r="B8" s="2" t="s">
        <v>46</v>
      </c>
      <c r="C8" s="2" t="s">
        <v>55</v>
      </c>
      <c r="D8" s="3">
        <v>375000</v>
      </c>
      <c r="E8" s="3">
        <v>48000</v>
      </c>
      <c r="F8" s="3">
        <v>94500</v>
      </c>
      <c r="G8" s="24">
        <v>0.18</v>
      </c>
    </row>
    <row r="9" spans="2:7" x14ac:dyDescent="0.4">
      <c r="B9" s="2" t="s">
        <v>45</v>
      </c>
      <c r="C9" s="2" t="s">
        <v>57</v>
      </c>
      <c r="D9" s="3">
        <v>744000</v>
      </c>
      <c r="E9" s="3">
        <v>34800</v>
      </c>
      <c r="F9" s="3">
        <v>151200</v>
      </c>
      <c r="G9" s="24">
        <v>0.16</v>
      </c>
    </row>
    <row r="10" spans="2:7" x14ac:dyDescent="0.4">
      <c r="B10" s="2" t="s">
        <v>44</v>
      </c>
      <c r="C10" s="2" t="s">
        <v>56</v>
      </c>
      <c r="D10" s="3">
        <v>358000</v>
      </c>
      <c r="E10" s="3">
        <v>45000</v>
      </c>
      <c r="F10" s="3">
        <v>128400</v>
      </c>
      <c r="G10" s="24">
        <v>0.24</v>
      </c>
    </row>
    <row r="11" spans="2:7" x14ac:dyDescent="0.4">
      <c r="B11" s="2" t="s">
        <v>46</v>
      </c>
      <c r="C11" s="2" t="s">
        <v>54</v>
      </c>
      <c r="D11" s="3">
        <v>210000</v>
      </c>
      <c r="E11" s="3">
        <v>18500</v>
      </c>
      <c r="F11" s="3">
        <v>50800</v>
      </c>
      <c r="G11" s="24">
        <v>0.18</v>
      </c>
    </row>
    <row r="12" spans="2:7" x14ac:dyDescent="0.4">
      <c r="B12" s="2" t="s">
        <v>47</v>
      </c>
      <c r="C12" s="2" t="s">
        <v>55</v>
      </c>
      <c r="D12" s="3">
        <v>495000</v>
      </c>
      <c r="E12" s="3">
        <v>49500</v>
      </c>
      <c r="F12" s="3">
        <v>118800</v>
      </c>
      <c r="G12" s="24">
        <v>0.18</v>
      </c>
    </row>
    <row r="13" spans="2:7" x14ac:dyDescent="0.4">
      <c r="B13" s="2" t="s">
        <v>45</v>
      </c>
      <c r="C13" s="2" t="s">
        <v>56</v>
      </c>
      <c r="D13" s="3">
        <v>194000</v>
      </c>
      <c r="E13" s="3">
        <v>35000</v>
      </c>
      <c r="F13" s="3">
        <v>118800</v>
      </c>
      <c r="G13" s="24">
        <v>0.34</v>
      </c>
    </row>
    <row r="14" spans="2:7" x14ac:dyDescent="0.4">
      <c r="B14" s="2" t="s">
        <v>46</v>
      </c>
      <c r="C14" s="2" t="s">
        <v>57</v>
      </c>
      <c r="D14" s="3">
        <v>568000</v>
      </c>
      <c r="E14" s="3">
        <v>290600</v>
      </c>
      <c r="F14" s="3">
        <v>150000</v>
      </c>
      <c r="G14" s="24">
        <v>0.15</v>
      </c>
    </row>
    <row r="15" spans="2:7" x14ac:dyDescent="0.4">
      <c r="B15" s="2" t="s">
        <v>48</v>
      </c>
      <c r="C15" s="2" t="s">
        <v>58</v>
      </c>
      <c r="D15" s="3">
        <v>604000</v>
      </c>
      <c r="E15" s="3">
        <v>82000</v>
      </c>
      <c r="F15" s="3">
        <v>141600</v>
      </c>
      <c r="G15" s="24">
        <v>0.17</v>
      </c>
    </row>
    <row r="16" spans="2:7" x14ac:dyDescent="0.4">
      <c r="B16" s="2" t="s">
        <v>45</v>
      </c>
      <c r="C16" s="2" t="s">
        <v>58</v>
      </c>
      <c r="D16" s="3">
        <v>680000</v>
      </c>
      <c r="E16" s="3">
        <v>26000</v>
      </c>
      <c r="F16" s="3">
        <v>201600</v>
      </c>
      <c r="G16" s="24">
        <v>0.22</v>
      </c>
    </row>
    <row r="17" spans="2:7" x14ac:dyDescent="0.4">
      <c r="B17" s="2" t="s">
        <v>44</v>
      </c>
      <c r="C17" s="2" t="s">
        <v>54</v>
      </c>
      <c r="D17" s="3">
        <v>194000</v>
      </c>
      <c r="E17" s="3">
        <v>24300</v>
      </c>
      <c r="F17" s="3">
        <v>32100</v>
      </c>
      <c r="G17" s="24">
        <v>0.13</v>
      </c>
    </row>
    <row r="18" spans="2:7" x14ac:dyDescent="0.4">
      <c r="B18" s="2" t="s">
        <v>44</v>
      </c>
      <c r="C18" s="2" t="s">
        <v>55</v>
      </c>
      <c r="D18" s="3">
        <v>597000</v>
      </c>
      <c r="E18" s="3">
        <v>41100</v>
      </c>
      <c r="F18" s="3">
        <v>372800</v>
      </c>
      <c r="G18" s="24">
        <v>0.37</v>
      </c>
    </row>
    <row r="19" spans="2:7" x14ac:dyDescent="0.4">
      <c r="B19" s="2" t="s">
        <v>47</v>
      </c>
      <c r="C19" s="2" t="s">
        <v>56</v>
      </c>
      <c r="D19" s="3">
        <v>336000</v>
      </c>
      <c r="E19" s="3">
        <v>18800</v>
      </c>
      <c r="F19" s="3">
        <v>95800</v>
      </c>
      <c r="G19" s="24">
        <v>0.21</v>
      </c>
    </row>
    <row r="20" spans="2:7" x14ac:dyDescent="0.4">
      <c r="B20" s="2" t="s">
        <v>44</v>
      </c>
      <c r="C20" s="2" t="s">
        <v>55</v>
      </c>
      <c r="D20" s="3">
        <v>469000</v>
      </c>
      <c r="E20" s="3">
        <v>159700</v>
      </c>
      <c r="F20" s="3">
        <v>147600</v>
      </c>
      <c r="G20" s="24">
        <v>0.19</v>
      </c>
    </row>
    <row r="21" spans="2:7" x14ac:dyDescent="0.4">
      <c r="B21" s="2" t="s">
        <v>46</v>
      </c>
      <c r="C21" s="2" t="s">
        <v>56</v>
      </c>
      <c r="D21" s="3">
        <v>394000</v>
      </c>
      <c r="E21" s="3">
        <v>42200</v>
      </c>
      <c r="F21" s="3">
        <v>75600</v>
      </c>
      <c r="G21" s="24">
        <v>0.15</v>
      </c>
    </row>
    <row r="22" spans="2:7" x14ac:dyDescent="0.4">
      <c r="B22" s="2" t="s">
        <v>47</v>
      </c>
      <c r="C22" s="2" t="s">
        <v>55</v>
      </c>
      <c r="D22" s="3">
        <v>502000</v>
      </c>
      <c r="E22" s="3">
        <v>93200</v>
      </c>
      <c r="F22" s="3">
        <v>197200</v>
      </c>
      <c r="G22" s="24">
        <v>0.25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서식적용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H23"/>
  <sheetViews>
    <sheetView workbookViewId="0">
      <selection activeCell="G28" sqref="G28"/>
    </sheetView>
  </sheetViews>
  <sheetFormatPr defaultRowHeight="17.399999999999999" x14ac:dyDescent="0.4"/>
  <cols>
    <col min="1" max="1" width="3.59765625" customWidth="1"/>
    <col min="2" max="2" width="9.8984375" customWidth="1"/>
    <col min="3" max="3" width="12.19921875" customWidth="1"/>
    <col min="7" max="7" width="3.59765625" customWidth="1"/>
    <col min="8" max="8" width="11" bestFit="1" customWidth="1"/>
  </cols>
  <sheetData>
    <row r="2" spans="2:8" x14ac:dyDescent="0.4">
      <c r="B2" s="14" t="s">
        <v>65</v>
      </c>
      <c r="C2" s="15">
        <v>45156</v>
      </c>
    </row>
    <row r="5" spans="2:8" x14ac:dyDescent="0.4">
      <c r="B5" s="2" t="s">
        <v>64</v>
      </c>
      <c r="C5" s="2" t="s">
        <v>43</v>
      </c>
      <c r="D5" s="2" t="s">
        <v>51</v>
      </c>
      <c r="E5" s="2" t="s">
        <v>59</v>
      </c>
      <c r="F5" s="2" t="s">
        <v>60</v>
      </c>
      <c r="H5" s="2" t="s">
        <v>63</v>
      </c>
    </row>
    <row r="6" spans="2:8" x14ac:dyDescent="0.4">
      <c r="B6" s="2" t="s">
        <v>68</v>
      </c>
      <c r="C6" s="2" t="s">
        <v>66</v>
      </c>
      <c r="D6" s="2" t="s">
        <v>71</v>
      </c>
      <c r="E6" s="1">
        <v>399000</v>
      </c>
      <c r="F6" s="1">
        <v>39900</v>
      </c>
      <c r="H6" s="2" t="s">
        <v>45</v>
      </c>
    </row>
    <row r="7" spans="2:8" x14ac:dyDescent="0.4">
      <c r="B7" s="2" t="s">
        <v>70</v>
      </c>
      <c r="C7" s="2" t="s">
        <v>67</v>
      </c>
      <c r="D7" s="2" t="s">
        <v>69</v>
      </c>
      <c r="E7" s="1">
        <v>155000</v>
      </c>
      <c r="F7" s="1">
        <v>7750</v>
      </c>
      <c r="H7" s="2" t="s">
        <v>46</v>
      </c>
    </row>
    <row r="8" spans="2:8" x14ac:dyDescent="0.4">
      <c r="B8" s="2"/>
      <c r="C8" s="2"/>
      <c r="D8" s="2"/>
      <c r="E8" s="1"/>
      <c r="F8" s="1"/>
      <c r="H8" s="2" t="s">
        <v>48</v>
      </c>
    </row>
    <row r="9" spans="2:8" x14ac:dyDescent="0.4">
      <c r="B9" s="2"/>
      <c r="C9" s="2"/>
      <c r="D9" s="2"/>
      <c r="E9" s="1"/>
      <c r="F9" s="1"/>
      <c r="H9" s="2" t="s">
        <v>44</v>
      </c>
    </row>
    <row r="10" spans="2:8" x14ac:dyDescent="0.4">
      <c r="B10" s="2"/>
      <c r="C10" s="2"/>
      <c r="D10" s="2"/>
      <c r="E10" s="1"/>
      <c r="F10" s="1"/>
      <c r="H10" s="2" t="s">
        <v>47</v>
      </c>
    </row>
    <row r="11" spans="2:8" x14ac:dyDescent="0.4">
      <c r="B11" s="2"/>
      <c r="C11" s="2"/>
      <c r="D11" s="2"/>
      <c r="E11" s="1"/>
      <c r="F11" s="1"/>
    </row>
    <row r="12" spans="2:8" x14ac:dyDescent="0.4">
      <c r="B12" s="2"/>
      <c r="C12" s="2"/>
      <c r="D12" s="2"/>
      <c r="E12" s="1"/>
      <c r="F12" s="1"/>
    </row>
    <row r="13" spans="2:8" x14ac:dyDescent="0.4">
      <c r="B13" s="2"/>
      <c r="C13" s="2"/>
      <c r="D13" s="2"/>
      <c r="E13" s="1"/>
      <c r="F13" s="1"/>
    </row>
    <row r="14" spans="2:8" x14ac:dyDescent="0.4">
      <c r="B14" s="2"/>
      <c r="C14" s="2"/>
      <c r="D14" s="2"/>
      <c r="E14" s="1"/>
      <c r="F14" s="1"/>
    </row>
    <row r="15" spans="2:8" x14ac:dyDescent="0.4">
      <c r="B15" s="2"/>
      <c r="C15" s="2"/>
      <c r="D15" s="2"/>
      <c r="E15" s="1"/>
      <c r="F15" s="1"/>
    </row>
    <row r="16" spans="2:8" x14ac:dyDescent="0.4">
      <c r="B16" s="2"/>
      <c r="C16" s="2"/>
      <c r="D16" s="2"/>
      <c r="E16" s="1"/>
      <c r="F16" s="1"/>
    </row>
    <row r="17" spans="2:6" x14ac:dyDescent="0.4">
      <c r="B17" s="2"/>
      <c r="C17" s="2"/>
      <c r="D17" s="2"/>
      <c r="E17" s="1"/>
      <c r="F17" s="1"/>
    </row>
    <row r="18" spans="2:6" x14ac:dyDescent="0.4">
      <c r="B18" s="2"/>
      <c r="C18" s="2"/>
      <c r="D18" s="2"/>
      <c r="E18" s="1"/>
      <c r="F18" s="1"/>
    </row>
    <row r="19" spans="2:6" x14ac:dyDescent="0.4">
      <c r="B19" s="2"/>
      <c r="C19" s="2"/>
      <c r="D19" s="2"/>
      <c r="E19" s="1"/>
      <c r="F19" s="1"/>
    </row>
    <row r="20" spans="2:6" x14ac:dyDescent="0.4">
      <c r="B20" s="2"/>
      <c r="C20" s="2"/>
      <c r="D20" s="2"/>
      <c r="E20" s="1"/>
      <c r="F20" s="1"/>
    </row>
    <row r="21" spans="2:6" x14ac:dyDescent="0.4">
      <c r="B21" s="2"/>
      <c r="C21" s="2"/>
      <c r="D21" s="2"/>
      <c r="E21" s="1"/>
      <c r="F21" s="1"/>
    </row>
    <row r="22" spans="2:6" x14ac:dyDescent="0.4">
      <c r="B22" s="2"/>
      <c r="C22" s="2"/>
      <c r="D22" s="2"/>
      <c r="E22" s="1"/>
      <c r="F22" s="1"/>
    </row>
    <row r="23" spans="2:6" x14ac:dyDescent="0.4">
      <c r="B23" s="2"/>
      <c r="C23" s="2"/>
      <c r="D23" s="2"/>
      <c r="E23" s="1"/>
      <c r="F23" s="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여행등록">
          <controlPr defaultSize="0" autoLine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30480</xdr:colOff>
                <xdr:row>2</xdr:row>
                <xdr:rowOff>198120</xdr:rowOff>
              </to>
            </anchor>
          </controlPr>
        </control>
      </mc:Choice>
      <mc:Fallback>
        <control shapeId="9217" r:id="rId3" name="cmd여행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2</vt:i4>
      </vt:variant>
    </vt:vector>
  </HeadingPairs>
  <TitlesOfParts>
    <vt:vector size="11" baseType="lpstr">
      <vt:lpstr>기본작업-1</vt:lpstr>
      <vt:lpstr>기본작업-2</vt:lpstr>
      <vt:lpstr>계산작업</vt:lpstr>
      <vt:lpstr>대형평수경비내역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김용갑</dc:creator>
  <cp:lastModifiedBy>ylose</cp:lastModifiedBy>
  <dcterms:created xsi:type="dcterms:W3CDTF">2021-03-03T09:40:58Z</dcterms:created>
  <dcterms:modified xsi:type="dcterms:W3CDTF">2023-08-21T13:49:43Z</dcterms:modified>
</cp:coreProperties>
</file>