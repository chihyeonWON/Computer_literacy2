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08256B3B-2F05-44B8-A9B0-9B0D00B00D0E}" xr6:coauthVersionLast="47" xr6:coauthVersionMax="47" xr10:uidLastSave="{00000000-0000-0000-0000-000000000000}"/>
  <bookViews>
    <workbookView xWindow="-108" yWindow="-108" windowWidth="23256" windowHeight="13176" activeTab="3" xr2:uid="{00000000-000D-0000-FFFF-FFFF00000000}"/>
  </bookViews>
  <sheets>
    <sheet name="기본작업-1" sheetId="9" r:id="rId1"/>
    <sheet name="기본작업-2" sheetId="10" r:id="rId2"/>
    <sheet name="기본작업-3" sheetId="11" r:id="rId3"/>
    <sheet name="계산작업" sheetId="13" r:id="rId4"/>
    <sheet name="분석작업-1" sheetId="12" r:id="rId5"/>
    <sheet name="시나리오 요약" sheetId="17" r:id="rId6"/>
    <sheet name="분석작업-2" sheetId="14" r:id="rId7"/>
    <sheet name="매크로작업" sheetId="15" r:id="rId8"/>
    <sheet name="차트작업" sheetId="16" r:id="rId9"/>
  </sheets>
  <definedNames>
    <definedName name="순이익률">'분석작업-2'!$B$17</definedName>
    <definedName name="순이익합계">'분석작업-2'!$G$15</definedName>
  </definedNames>
  <calcPr calcId="191029"/>
  <pivotCaches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" l="1"/>
  <c r="E28" i="13"/>
  <c r="E29" i="13"/>
  <c r="E30" i="13"/>
  <c r="E31" i="13"/>
  <c r="E32" i="13"/>
  <c r="E33" i="13"/>
  <c r="E34" i="13"/>
  <c r="E35" i="13"/>
  <c r="E26" i="13"/>
  <c r="J22" i="13"/>
  <c r="D22" i="13"/>
  <c r="J4" i="13"/>
  <c r="J5" i="13"/>
  <c r="J6" i="13"/>
  <c r="J7" i="13"/>
  <c r="J8" i="13"/>
  <c r="J9" i="13"/>
  <c r="J3" i="13"/>
  <c r="D7" i="13"/>
  <c r="H5" i="15"/>
  <c r="H6" i="15"/>
  <c r="H7" i="15"/>
  <c r="H8" i="15"/>
  <c r="H4" i="15"/>
  <c r="E15" i="14"/>
  <c r="D15" i="14"/>
  <c r="C15" i="14"/>
  <c r="F14" i="14"/>
  <c r="G14" i="14" s="1"/>
  <c r="F13" i="14"/>
  <c r="G13" i="14" s="1"/>
  <c r="F12" i="14"/>
  <c r="G12" i="14" s="1"/>
  <c r="F11" i="14"/>
  <c r="G11" i="14" s="1"/>
  <c r="F10" i="14"/>
  <c r="G10" i="14" s="1"/>
  <c r="F9" i="14"/>
  <c r="G9" i="14" s="1"/>
  <c r="F8" i="14"/>
  <c r="G8" i="14" s="1"/>
  <c r="F7" i="14"/>
  <c r="G7" i="14" s="1"/>
  <c r="F6" i="14"/>
  <c r="G6" i="14" s="1"/>
  <c r="F5" i="14"/>
  <c r="F15" i="14" s="1"/>
  <c r="G5" i="14" l="1"/>
  <c r="G15" i="14" s="1"/>
  <c r="D35" i="13" l="1"/>
  <c r="D34" i="13"/>
  <c r="D33" i="13"/>
  <c r="D32" i="13"/>
  <c r="D31" i="13"/>
  <c r="D30" i="13"/>
  <c r="D29" i="13"/>
  <c r="D28" i="13"/>
  <c r="D27" i="13"/>
  <c r="D26" i="13"/>
  <c r="D19" i="13"/>
  <c r="D18" i="13"/>
  <c r="D17" i="13"/>
  <c r="D16" i="13"/>
  <c r="D15" i="13"/>
  <c r="D14" i="13"/>
  <c r="D13" i="13"/>
  <c r="D12" i="13"/>
  <c r="H18" i="11" l="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</calcChain>
</file>

<file path=xl/sharedStrings.xml><?xml version="1.0" encoding="utf-8"?>
<sst xmlns="http://schemas.openxmlformats.org/spreadsheetml/2006/main" count="342" uniqueCount="277">
  <si>
    <t>상공홈쇼핑 3월 판매현황</t>
  </si>
  <si>
    <t>구분</t>
  </si>
  <si>
    <t>상공대학교 수강 현황</t>
    <phoneticPr fontId="1" type="noConversion"/>
  </si>
  <si>
    <t>수강코드</t>
    <phoneticPr fontId="1" type="noConversion"/>
  </si>
  <si>
    <t>과목명</t>
    <phoneticPr fontId="1" type="noConversion"/>
  </si>
  <si>
    <t>수강인원</t>
    <phoneticPr fontId="1" type="noConversion"/>
  </si>
  <si>
    <t>담당교수</t>
    <phoneticPr fontId="1" type="noConversion"/>
  </si>
  <si>
    <t>수강요일</t>
    <phoneticPr fontId="1" type="noConversion"/>
  </si>
  <si>
    <t>EL-5424</t>
    <phoneticPr fontId="1" type="noConversion"/>
  </si>
  <si>
    <t>생명과환경</t>
    <phoneticPr fontId="1" type="noConversion"/>
  </si>
  <si>
    <t>전공</t>
    <phoneticPr fontId="1" type="noConversion"/>
  </si>
  <si>
    <t>김상욱</t>
    <phoneticPr fontId="1" type="noConversion"/>
  </si>
  <si>
    <t>월</t>
    <phoneticPr fontId="1" type="noConversion"/>
  </si>
  <si>
    <t>IT-3290</t>
    <phoneticPr fontId="1" type="noConversion"/>
  </si>
  <si>
    <t>E-비즈니스개론</t>
    <phoneticPr fontId="1" type="noConversion"/>
  </si>
  <si>
    <t>신의수</t>
    <phoneticPr fontId="1" type="noConversion"/>
  </si>
  <si>
    <t>월</t>
    <phoneticPr fontId="1" type="noConversion"/>
  </si>
  <si>
    <t>SW-6553</t>
    <phoneticPr fontId="1" type="noConversion"/>
  </si>
  <si>
    <t>국제경영</t>
    <phoneticPr fontId="1" type="noConversion"/>
  </si>
  <si>
    <t>이진숙</t>
    <phoneticPr fontId="1" type="noConversion"/>
  </si>
  <si>
    <t>수</t>
    <phoneticPr fontId="1" type="noConversion"/>
  </si>
  <si>
    <t>NC-0387</t>
    <phoneticPr fontId="1" type="noConversion"/>
  </si>
  <si>
    <t>경제학개론</t>
    <phoneticPr fontId="1" type="noConversion"/>
  </si>
  <si>
    <t>이윤열</t>
    <phoneticPr fontId="1" type="noConversion"/>
  </si>
  <si>
    <t>목</t>
    <phoneticPr fontId="1" type="noConversion"/>
  </si>
  <si>
    <t>KH-6712</t>
    <phoneticPr fontId="1" type="noConversion"/>
  </si>
  <si>
    <t>영상디자인</t>
    <phoneticPr fontId="1" type="noConversion"/>
  </si>
  <si>
    <t>한우석</t>
    <phoneticPr fontId="1" type="noConversion"/>
  </si>
  <si>
    <t>목</t>
    <phoneticPr fontId="1" type="noConversion"/>
  </si>
  <si>
    <t>CA-9865</t>
    <phoneticPr fontId="1" type="noConversion"/>
  </si>
  <si>
    <t>노사관계론</t>
    <phoneticPr fontId="1" type="noConversion"/>
  </si>
  <si>
    <t>교양</t>
    <phoneticPr fontId="1" type="noConversion"/>
  </si>
  <si>
    <t>고양희</t>
    <phoneticPr fontId="1" type="noConversion"/>
  </si>
  <si>
    <t>화</t>
    <phoneticPr fontId="1" type="noConversion"/>
  </si>
  <si>
    <t>NB-6213</t>
    <phoneticPr fontId="1" type="noConversion"/>
  </si>
  <si>
    <t>부동산마케팅</t>
    <phoneticPr fontId="1" type="noConversion"/>
  </si>
  <si>
    <t>김수연</t>
    <phoneticPr fontId="1" type="noConversion"/>
  </si>
  <si>
    <t>TE-2398</t>
    <phoneticPr fontId="1" type="noConversion"/>
  </si>
  <si>
    <t>프로그래밍언어</t>
    <phoneticPr fontId="1" type="noConversion"/>
  </si>
  <si>
    <t>윤정석</t>
    <phoneticPr fontId="1" type="noConversion"/>
  </si>
  <si>
    <t>OF-3416</t>
    <phoneticPr fontId="1" type="noConversion"/>
  </si>
  <si>
    <t>패션과현대사</t>
    <phoneticPr fontId="1" type="noConversion"/>
  </si>
  <si>
    <t>최윤주</t>
    <phoneticPr fontId="1" type="noConversion"/>
  </si>
  <si>
    <t>금</t>
    <phoneticPr fontId="1" type="noConversion"/>
  </si>
  <si>
    <t>AN-4189</t>
    <phoneticPr fontId="1" type="noConversion"/>
  </si>
  <si>
    <t>소프트웨어설계</t>
    <phoneticPr fontId="1" type="noConversion"/>
  </si>
  <si>
    <t>김선일</t>
    <phoneticPr fontId="1" type="noConversion"/>
  </si>
  <si>
    <t>1/4분기 지역특산물 판매현황</t>
  </si>
  <si>
    <t>특산물명</t>
  </si>
  <si>
    <t>지역</t>
  </si>
  <si>
    <t>단위</t>
  </si>
  <si>
    <t>1월판매량</t>
  </si>
  <si>
    <t>2월판매량</t>
  </si>
  <si>
    <t>3월판매량</t>
  </si>
  <si>
    <t>총판매량</t>
    <phoneticPr fontId="1" type="noConversion"/>
  </si>
  <si>
    <t>풀먹인토종닭</t>
  </si>
  <si>
    <t>전남 강진</t>
  </si>
  <si>
    <t>축산물</t>
  </si>
  <si>
    <t>800g</t>
  </si>
  <si>
    <t>튼튼한쌀</t>
  </si>
  <si>
    <t>경기 이천</t>
  </si>
  <si>
    <t>농산물</t>
  </si>
  <si>
    <t>10kg</t>
  </si>
  <si>
    <t>깨끗한매생이</t>
  </si>
  <si>
    <t>전남 완도</t>
  </si>
  <si>
    <t>수산물</t>
  </si>
  <si>
    <t>350g</t>
  </si>
  <si>
    <t>싱싱오징어</t>
  </si>
  <si>
    <t>강원 동해</t>
  </si>
  <si>
    <t>3마리</t>
  </si>
  <si>
    <t>꿀맛참외</t>
  </si>
  <si>
    <t>경북 성주</t>
  </si>
  <si>
    <t>2kg</t>
  </si>
  <si>
    <t>명품한돈구이</t>
  </si>
  <si>
    <t>경기 안성</t>
  </si>
  <si>
    <t>1.5kg</t>
  </si>
  <si>
    <t>싱싱블루베리</t>
  </si>
  <si>
    <t>전남 고흥</t>
  </si>
  <si>
    <t>1kg</t>
  </si>
  <si>
    <t>생물홍게</t>
  </si>
  <si>
    <t>경북 포항</t>
  </si>
  <si>
    <t>4마리</t>
  </si>
  <si>
    <t>반건조박대</t>
  </si>
  <si>
    <t>전북 군산</t>
  </si>
  <si>
    <t>5마리</t>
  </si>
  <si>
    <t>한우의품격</t>
  </si>
  <si>
    <t>전남 장흥</t>
  </si>
  <si>
    <t>500g</t>
  </si>
  <si>
    <t>향기좋은더덕</t>
  </si>
  <si>
    <t>강원 횡성</t>
  </si>
  <si>
    <t>칼집낸왕밤</t>
  </si>
  <si>
    <t>충남 공주</t>
  </si>
  <si>
    <t>한방통오리</t>
  </si>
  <si>
    <t>전남 나주</t>
  </si>
  <si>
    <t>1마리</t>
  </si>
  <si>
    <t>유기농쌈채소</t>
  </si>
  <si>
    <t>충북 충주</t>
  </si>
  <si>
    <t>600g</t>
  </si>
  <si>
    <t>왕밤고구마</t>
  </si>
  <si>
    <t>전남 해남</t>
  </si>
  <si>
    <t>5kg</t>
  </si>
  <si>
    <t>사원 급여명세서</t>
  </si>
  <si>
    <t>사원명</t>
  </si>
  <si>
    <t>부서명</t>
  </si>
  <si>
    <t>직위</t>
  </si>
  <si>
    <t>호봉</t>
  </si>
  <si>
    <t>기본급</t>
  </si>
  <si>
    <t>수당</t>
  </si>
  <si>
    <t>세금</t>
  </si>
  <si>
    <t>실수령액</t>
  </si>
  <si>
    <t>양예슬</t>
  </si>
  <si>
    <t>생산부</t>
  </si>
  <si>
    <t>부장</t>
  </si>
  <si>
    <t>남대인</t>
  </si>
  <si>
    <t>과장</t>
  </si>
  <si>
    <t>전상희</t>
  </si>
  <si>
    <t>대리</t>
  </si>
  <si>
    <t>배종재</t>
  </si>
  <si>
    <t>사원</t>
  </si>
  <si>
    <t>주하정</t>
  </si>
  <si>
    <t>영업부</t>
  </si>
  <si>
    <t>오송연</t>
  </si>
  <si>
    <t>서송빈</t>
  </si>
  <si>
    <t>고인숙</t>
  </si>
  <si>
    <t>김주성</t>
  </si>
  <si>
    <t>홍보부</t>
  </si>
  <si>
    <t>한은주</t>
  </si>
  <si>
    <t>이장원</t>
  </si>
  <si>
    <t>김선길</t>
  </si>
  <si>
    <t>[표1]</t>
    <phoneticPr fontId="1" type="noConversion"/>
  </si>
  <si>
    <t>국가별 환율</t>
    <phoneticPr fontId="1" type="noConversion"/>
  </si>
  <si>
    <t>[표2]</t>
    <phoneticPr fontId="1" type="noConversion"/>
  </si>
  <si>
    <t>자동차 주행 기록</t>
    <phoneticPr fontId="1" type="noConversion"/>
  </si>
  <si>
    <t>통화명</t>
    <phoneticPr fontId="1" type="noConversion"/>
  </si>
  <si>
    <t>환율</t>
    <phoneticPr fontId="1" type="noConversion"/>
  </si>
  <si>
    <t>소속</t>
    <phoneticPr fontId="1" type="noConversion"/>
  </si>
  <si>
    <t>선수명</t>
    <phoneticPr fontId="1" type="noConversion"/>
  </si>
  <si>
    <t>출발시간</t>
    <phoneticPr fontId="1" type="noConversion"/>
  </si>
  <si>
    <t>도착시간</t>
    <phoneticPr fontId="1" type="noConversion"/>
  </si>
  <si>
    <t>주행기록</t>
    <phoneticPr fontId="1" type="noConversion"/>
  </si>
  <si>
    <t>USD</t>
    <phoneticPr fontId="1" type="noConversion"/>
  </si>
  <si>
    <t>카마스터</t>
    <phoneticPr fontId="1" type="noConversion"/>
  </si>
  <si>
    <t>유한열</t>
    <phoneticPr fontId="1" type="noConversion"/>
  </si>
  <si>
    <t>AUD</t>
    <phoneticPr fontId="1" type="noConversion"/>
  </si>
  <si>
    <t>튼튼자동차</t>
    <phoneticPr fontId="1" type="noConversion"/>
  </si>
  <si>
    <t>강현준</t>
    <phoneticPr fontId="1" type="noConversion"/>
  </si>
  <si>
    <t>GBP</t>
    <phoneticPr fontId="1" type="noConversion"/>
  </si>
  <si>
    <t>붕붕모터스</t>
    <phoneticPr fontId="1" type="noConversion"/>
  </si>
  <si>
    <t>이규창</t>
    <phoneticPr fontId="1" type="noConversion"/>
  </si>
  <si>
    <t>JPY</t>
    <phoneticPr fontId="1" type="noConversion"/>
  </si>
  <si>
    <t>환율</t>
    <phoneticPr fontId="1" type="noConversion"/>
  </si>
  <si>
    <t>오토마스터</t>
    <phoneticPr fontId="1" type="noConversion"/>
  </si>
  <si>
    <t>김민수</t>
    <phoneticPr fontId="1" type="noConversion"/>
  </si>
  <si>
    <t>CNY</t>
    <phoneticPr fontId="1" type="noConversion"/>
  </si>
  <si>
    <t>AUD</t>
    <phoneticPr fontId="1" type="noConversion"/>
  </si>
  <si>
    <t>유명자동차</t>
    <phoneticPr fontId="1" type="noConversion"/>
  </si>
  <si>
    <t>신선부</t>
    <phoneticPr fontId="1" type="noConversion"/>
  </si>
  <si>
    <t>성공자동차</t>
    <phoneticPr fontId="1" type="noConversion"/>
  </si>
  <si>
    <t>조영수</t>
    <phoneticPr fontId="1" type="noConversion"/>
  </si>
  <si>
    <t>턴스피드</t>
    <phoneticPr fontId="1" type="noConversion"/>
  </si>
  <si>
    <t>한용욱</t>
    <phoneticPr fontId="1" type="noConversion"/>
  </si>
  <si>
    <t>[표3]</t>
    <phoneticPr fontId="1" type="noConversion"/>
  </si>
  <si>
    <t>사원 판매 현황</t>
    <phoneticPr fontId="1" type="noConversion"/>
  </si>
  <si>
    <t>사원명</t>
    <phoneticPr fontId="1" type="noConversion"/>
  </si>
  <si>
    <t>지점</t>
    <phoneticPr fontId="1" type="noConversion"/>
  </si>
  <si>
    <t>수량</t>
    <phoneticPr fontId="1" type="noConversion"/>
  </si>
  <si>
    <t>판매금액</t>
    <phoneticPr fontId="1" type="noConversion"/>
  </si>
  <si>
    <t>[표4]</t>
    <phoneticPr fontId="1" type="noConversion"/>
  </si>
  <si>
    <t>사원별 판매실적현황</t>
  </si>
  <si>
    <t>이세훈</t>
    <phoneticPr fontId="1" type="noConversion"/>
  </si>
  <si>
    <t>북부</t>
    <phoneticPr fontId="1" type="noConversion"/>
  </si>
  <si>
    <t>직급</t>
  </si>
  <si>
    <t>판매실적</t>
  </si>
  <si>
    <t>한범준</t>
    <phoneticPr fontId="1" type="noConversion"/>
  </si>
  <si>
    <t>남부</t>
    <phoneticPr fontId="1" type="noConversion"/>
  </si>
  <si>
    <t>영업1부</t>
  </si>
  <si>
    <t>김상욱</t>
  </si>
  <si>
    <t>신솔지</t>
    <phoneticPr fontId="1" type="noConversion"/>
  </si>
  <si>
    <t>영업2부</t>
  </si>
  <si>
    <t>황진주</t>
  </si>
  <si>
    <t>권지애</t>
  </si>
  <si>
    <t>남부</t>
    <phoneticPr fontId="1" type="noConversion"/>
  </si>
  <si>
    <t>영업3부</t>
  </si>
  <si>
    <t>김민서</t>
  </si>
  <si>
    <t>오세민</t>
  </si>
  <si>
    <t>이상희</t>
  </si>
  <si>
    <t>조현우</t>
    <phoneticPr fontId="1" type="noConversion"/>
  </si>
  <si>
    <t>심영훈</t>
  </si>
  <si>
    <t>이명복</t>
    <phoneticPr fontId="1" type="noConversion"/>
  </si>
  <si>
    <t>최대건</t>
  </si>
  <si>
    <t>권지향</t>
    <phoneticPr fontId="1" type="noConversion"/>
  </si>
  <si>
    <t>윤정희</t>
  </si>
  <si>
    <t>김민성</t>
  </si>
  <si>
    <t>평균판매금액</t>
    <phoneticPr fontId="1" type="noConversion"/>
  </si>
  <si>
    <t>노유영</t>
  </si>
  <si>
    <t>판매실적이 가장 높은 사원</t>
  </si>
  <si>
    <t>[표5]</t>
    <phoneticPr fontId="1" type="noConversion"/>
  </si>
  <si>
    <t>컴활2급필기 시험결과</t>
  </si>
  <si>
    <t>수험번호</t>
  </si>
  <si>
    <t>1과목</t>
  </si>
  <si>
    <t>2과목</t>
  </si>
  <si>
    <t>총점</t>
  </si>
  <si>
    <t>합격여부</t>
  </si>
  <si>
    <t>M2301</t>
    <phoneticPr fontId="1" type="noConversion"/>
  </si>
  <si>
    <t>M2302</t>
  </si>
  <si>
    <t>M2303</t>
  </si>
  <si>
    <t>M2304</t>
  </si>
  <si>
    <t>M2305</t>
  </si>
  <si>
    <t>M2306</t>
  </si>
  <si>
    <t>M2307</t>
  </si>
  <si>
    <t>M2308</t>
  </si>
  <si>
    <t>M2309</t>
  </si>
  <si>
    <t>M2310</t>
  </si>
  <si>
    <t>아이스크림 판매실적</t>
    <phoneticPr fontId="1" type="noConversion"/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</si>
  <si>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</si>
  <si>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</si>
  <si>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</si>
  <si>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</si>
  <si>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순이익</t>
    <phoneticPr fontId="1" type="noConversion"/>
  </si>
  <si>
    <t>7월</t>
    <phoneticPr fontId="1" type="noConversion"/>
  </si>
  <si>
    <t>8월</t>
  </si>
  <si>
    <t>9월</t>
  </si>
  <si>
    <t>죠스바</t>
    <phoneticPr fontId="1" type="noConversion"/>
  </si>
  <si>
    <t>누가봐</t>
    <phoneticPr fontId="1" type="noConversion"/>
  </si>
  <si>
    <t>월드콘</t>
    <phoneticPr fontId="1" type="noConversion"/>
  </si>
  <si>
    <t>스크류바</t>
    <phoneticPr fontId="1" type="noConversion"/>
  </si>
  <si>
    <t>빠삐코</t>
    <phoneticPr fontId="1" type="noConversion"/>
  </si>
  <si>
    <t>옥동자</t>
    <phoneticPr fontId="1" type="noConversion"/>
  </si>
  <si>
    <t>돼지바</t>
    <phoneticPr fontId="1" type="noConversion"/>
  </si>
  <si>
    <t>바밤바</t>
    <phoneticPr fontId="1" type="noConversion"/>
  </si>
  <si>
    <t>캔디바</t>
    <phoneticPr fontId="1" type="noConversion"/>
  </si>
  <si>
    <t>메로나</t>
    <phoneticPr fontId="1" type="noConversion"/>
  </si>
  <si>
    <t>합계</t>
    <phoneticPr fontId="1" type="noConversion"/>
  </si>
  <si>
    <t>순이익률</t>
    <phoneticPr fontId="1" type="noConversion"/>
  </si>
  <si>
    <t>스포츠센터 회원등록 현황</t>
    <phoneticPr fontId="1" type="noConversion"/>
  </si>
  <si>
    <t>구분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</si>
  <si>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</si>
  <si>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</si>
  <si>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</si>
  <si>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</si>
  <si>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</si>
  <si>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</si>
  <si>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합계</t>
    <phoneticPr fontId="1" type="noConversion"/>
  </si>
  <si>
    <t>헬스</t>
    <phoneticPr fontId="1" type="noConversion"/>
  </si>
  <si>
    <t>필라테스</t>
    <phoneticPr fontId="1" type="noConversion"/>
  </si>
  <si>
    <t>요가</t>
    <phoneticPr fontId="1" type="noConversion"/>
  </si>
  <si>
    <t>골프</t>
    <phoneticPr fontId="1" type="noConversion"/>
  </si>
  <si>
    <t>수영</t>
    <phoneticPr fontId="1" type="noConversion"/>
  </si>
  <si>
    <t>은행별 예금현황</t>
    <phoneticPr fontId="1" type="noConversion"/>
  </si>
  <si>
    <t>은행</t>
    <phoneticPr fontId="1" type="noConversion"/>
  </si>
  <si>
    <t>보통예금</t>
    <phoneticPr fontId="1" type="noConversion"/>
  </si>
  <si>
    <t>정기예금</t>
    <phoneticPr fontId="1" type="noConversion"/>
  </si>
  <si>
    <t>주택예금</t>
    <phoneticPr fontId="1" type="noConversion"/>
  </si>
  <si>
    <t>기타수신</t>
    <phoneticPr fontId="1" type="noConversion"/>
  </si>
  <si>
    <t>상공은행</t>
    <phoneticPr fontId="1" type="noConversion"/>
  </si>
  <si>
    <t>한신은행</t>
    <phoneticPr fontId="1" type="noConversion"/>
  </si>
  <si>
    <t>유성은행</t>
    <phoneticPr fontId="1" type="noConversion"/>
  </si>
  <si>
    <t>대한은행</t>
    <phoneticPr fontId="1" type="noConversion"/>
  </si>
  <si>
    <t>튼튼은행</t>
    <phoneticPr fontId="1" type="noConversion"/>
  </si>
  <si>
    <t>믿음은행</t>
    <phoneticPr fontId="1" type="noConversion"/>
  </si>
  <si>
    <t>區分</t>
    <phoneticPr fontId="1" type="noConversion"/>
  </si>
  <si>
    <t>행 레이블</t>
  </si>
  <si>
    <t>총합계</t>
  </si>
  <si>
    <t>열 레이블</t>
  </si>
  <si>
    <t>평균 : 실수령액</t>
  </si>
  <si>
    <t>순이익률</t>
  </si>
  <si>
    <t>순이익합계</t>
  </si>
  <si>
    <t>순이익률인상</t>
  </si>
  <si>
    <t>만든 사람 ylose 날짜 2023-07-28</t>
  </si>
  <si>
    <t>순이익률인하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</si>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</sst>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.00_ "/>
    <numFmt numFmtId="177" formatCode="h:mm:ss;@"/>
    <numFmt numFmtId="178" formatCode="#,##0_ "/>
    <numFmt numFmtId="179" formatCode="@&quot;요일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8"/>
      <color theme="1"/>
      <name val="굴림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>
      <alignment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1" xfId="1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9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9" fontId="0" fillId="0" borderId="12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4" xfId="0" applyNumberFormat="1" applyFill="1" applyBorder="1" applyAlignment="1">
      <alignment vertical="center"/>
    </xf>
    <xf numFmtId="0" fontId="9" fillId="4" borderId="15" xfId="0" applyFont="1" applyFill="1" applyBorder="1" applyAlignment="1">
      <alignment horizontal="left" vertical="center"/>
    </xf>
    <xf numFmtId="0" fontId="8" fillId="4" borderId="13" xfId="0" applyFont="1" applyFill="1" applyBorder="1" applyAlignment="1">
      <alignment horizontal="left" vertical="center"/>
    </xf>
    <xf numFmtId="0" fontId="9" fillId="4" borderId="13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0" fillId="5" borderId="0" xfId="0" applyFont="1" applyFill="1" applyBorder="1" applyAlignment="1">
      <alignment horizontal="left" vertical="center"/>
    </xf>
    <xf numFmtId="0" fontId="11" fillId="5" borderId="3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0" fillId="5" borderId="14" xfId="0" applyFont="1" applyFill="1" applyBorder="1" applyAlignment="1">
      <alignment horizontal="left" vertical="center"/>
    </xf>
    <xf numFmtId="0" fontId="8" fillId="4" borderId="13" xfId="0" applyFont="1" applyFill="1" applyBorder="1" applyAlignment="1">
      <alignment horizontal="right" vertical="center"/>
    </xf>
    <xf numFmtId="0" fontId="8" fillId="4" borderId="15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3" fillId="0" borderId="0" xfId="0" applyFont="1" applyFill="1" applyBorder="1" applyAlignment="1">
      <alignment vertical="top" wrapText="1"/>
    </xf>
  </cellXfs>
  <cellStyles count="2">
    <cellStyle name="쉼표 [0]" xfId="1" builtinId="6"/>
    <cellStyle name="표준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01-4C4D-8D09-FF382E7767DA}"/>
            </c:ext>
          </c:extLst>
        </c:ser>
        <c:ser>
          <c:idx val="2"/>
          <c:order val="1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01-4C4D-8D09-FF382E776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7628751"/>
        <c:axId val="777283983"/>
      </c:barChart>
      <c:catAx>
        <c:axId val="69762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7283983"/>
        <c:crosses val="autoZero"/>
        <c:auto val="1"/>
        <c:lblAlgn val="ctr"/>
        <c:lblOffset val="100"/>
        <c:noMultiLvlLbl val="0"/>
      </c:catAx>
      <c:valAx>
        <c:axId val="77728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7628751"/>
        <c:crosses val="autoZero"/>
        <c:crossBetween val="between"/>
        <c:majorUnit val="1000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209550</xdr:colOff>
      <xdr:row>0</xdr:row>
      <xdr:rowOff>0</xdr:rowOff>
    </xdr:from>
    <xdr:to>
      <xdr:col>15</xdr:col>
      <xdr:colOff>266007</xdr:colOff>
      <xdr:row>12</xdr:row>
      <xdr:rowOff>9209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2550" y="0"/>
          <a:ext cx="5542857" cy="25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0</xdr:row>
      <xdr:rowOff>85725</xdr:rowOff>
    </xdr:from>
    <xdr:to>
      <xdr:col>19</xdr:col>
      <xdr:colOff>646611</xdr:colOff>
      <xdr:row>11</xdr:row>
      <xdr:rowOff>188283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9725" y="85725"/>
          <a:ext cx="8714286" cy="24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104775</xdr:rowOff>
    </xdr:from>
    <xdr:to>
      <xdr:col>21</xdr:col>
      <xdr:colOff>560886</xdr:colOff>
      <xdr:row>7</xdr:row>
      <xdr:rowOff>66490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9425" y="104775"/>
          <a:ext cx="8714286" cy="1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85725</xdr:rowOff>
    </xdr:from>
    <xdr:to>
      <xdr:col>23</xdr:col>
      <xdr:colOff>598986</xdr:colOff>
      <xdr:row>28</xdr:row>
      <xdr:rowOff>123480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7838515" y="85725"/>
          <a:ext cx="8610071" cy="6313049"/>
          <a:chOff x="7962900" y="85725"/>
          <a:chExt cx="8771436" cy="5905155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020050" y="85725"/>
            <a:ext cx="8714286" cy="3390476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962900" y="3228975"/>
            <a:ext cx="8752381" cy="276190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104775</xdr:rowOff>
    </xdr:from>
    <xdr:to>
      <xdr:col>21</xdr:col>
      <xdr:colOff>532314</xdr:colOff>
      <xdr:row>10</xdr:row>
      <xdr:rowOff>209269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0" y="104775"/>
          <a:ext cx="8685714" cy="22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0</xdr:row>
      <xdr:rowOff>133350</xdr:rowOff>
    </xdr:from>
    <xdr:to>
      <xdr:col>20</xdr:col>
      <xdr:colOff>684703</xdr:colOff>
      <xdr:row>10</xdr:row>
      <xdr:rowOff>190225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133350"/>
          <a:ext cx="8771428" cy="220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95250</xdr:colOff>
      <xdr:row>0</xdr:row>
      <xdr:rowOff>152400</xdr:rowOff>
    </xdr:from>
    <xdr:to>
      <xdr:col>21</xdr:col>
      <xdr:colOff>589459</xdr:colOff>
      <xdr:row>16</xdr:row>
      <xdr:rowOff>56737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1600" y="152400"/>
          <a:ext cx="8723809" cy="33047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[0]!테두리" textlink="">
      <xdr:nvSpPr>
        <xdr:cNvPr id="3" name="사각형: 빗면 2">
          <a:extLst>
            <a:ext uri="{FF2B5EF4-FFF2-40B4-BE49-F238E27FC236}">
              <a16:creationId xmlns:a16="http://schemas.microsoft.com/office/drawing/2014/main" id="{AD93A22C-94BD-983E-0D65-91CC614F1C52}"/>
            </a:ext>
          </a:extLst>
        </xdr:cNvPr>
        <xdr:cNvSpPr/>
      </xdr:nvSpPr>
      <xdr:spPr>
        <a:xfrm>
          <a:off x="2179320" y="2034540"/>
          <a:ext cx="1005840" cy="44196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133350</xdr:colOff>
      <xdr:row>0</xdr:row>
      <xdr:rowOff>66675</xdr:rowOff>
    </xdr:from>
    <xdr:to>
      <xdr:col>19</xdr:col>
      <xdr:colOff>456217</xdr:colOff>
      <xdr:row>22</xdr:row>
      <xdr:rowOff>85140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15050" y="66675"/>
          <a:ext cx="7866667" cy="4676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35.847346296294" createdVersion="8" refreshedVersion="8" minRefreshableVersion="3" recordCount="12" xr:uid="{990A78AE-D39C-476E-8907-34253F4AC969}">
  <cacheSource type="worksheet">
    <worksheetSource ref="A3:H15" sheet="분석작업-1"/>
  </cacheSource>
  <cacheFields count="8">
    <cacheField name="사원명" numFmtId="0">
      <sharedItems/>
    </cacheField>
    <cacheField name="부서명" numFmtId="0">
      <sharedItems count="3">
        <s v="생산부"/>
        <s v="영업부"/>
        <s v="홍보부"/>
      </sharedItems>
    </cacheField>
    <cacheField name="직위" numFmtId="0">
      <sharedItems count="4">
        <s v="부장"/>
        <s v="과장"/>
        <s v="대리"/>
        <s v="사원"/>
      </sharedItems>
    </cacheField>
    <cacheField name="호봉" numFmtId="0">
      <sharedItems containsSemiMixedTypes="0" containsString="0" containsNumber="1" containsInteger="1" minValue="1" maxValue="6"/>
    </cacheField>
    <cacheField name="기본급" numFmtId="41">
      <sharedItems containsSemiMixedTypes="0" containsString="0" containsNumber="1" containsInteger="1" minValue="1800000" maxValue="3800000"/>
    </cacheField>
    <cacheField name="수당" numFmtId="41">
      <sharedItems containsSemiMixedTypes="0" containsString="0" containsNumber="1" containsInteger="1" minValue="800000" maxValue="1600000"/>
    </cacheField>
    <cacheField name="세금" numFmtId="41">
      <sharedItems containsSemiMixedTypes="0" containsString="0" containsNumber="1" containsInteger="1" minValue="340000" maxValue="700000"/>
    </cacheField>
    <cacheField name="실수령액" numFmtId="41">
      <sharedItems containsSemiMixedTypes="0" containsString="0" containsNumber="1" containsInteger="1" minValue="2260000" maxValue="47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양예슬"/>
    <x v="0"/>
    <x v="0"/>
    <n v="6"/>
    <n v="3800000"/>
    <n v="1600000"/>
    <n v="700000"/>
    <n v="4700000"/>
  </r>
  <r>
    <s v="남대인"/>
    <x v="0"/>
    <x v="1"/>
    <n v="5"/>
    <n v="3000000"/>
    <n v="1400000"/>
    <n v="570000"/>
    <n v="3830000"/>
  </r>
  <r>
    <s v="전상희"/>
    <x v="0"/>
    <x v="2"/>
    <n v="1"/>
    <n v="2000000"/>
    <n v="1100000"/>
    <n v="400000"/>
    <n v="2700000"/>
  </r>
  <r>
    <s v="배종재"/>
    <x v="0"/>
    <x v="3"/>
    <n v="3"/>
    <n v="1900000"/>
    <n v="900000"/>
    <n v="360000"/>
    <n v="2440000"/>
  </r>
  <r>
    <s v="주하정"/>
    <x v="1"/>
    <x v="0"/>
    <n v="1"/>
    <n v="3200000"/>
    <n v="1500000"/>
    <n v="610000"/>
    <n v="4090000"/>
  </r>
  <r>
    <s v="오송연"/>
    <x v="1"/>
    <x v="1"/>
    <n v="2"/>
    <n v="2440000"/>
    <n v="1350000"/>
    <n v="490000"/>
    <n v="3300000"/>
  </r>
  <r>
    <s v="서송빈"/>
    <x v="1"/>
    <x v="2"/>
    <n v="4"/>
    <n v="2200000"/>
    <n v="1200000"/>
    <n v="440000"/>
    <n v="2960000"/>
  </r>
  <r>
    <s v="고인숙"/>
    <x v="1"/>
    <x v="3"/>
    <n v="2"/>
    <n v="1850000"/>
    <n v="900000"/>
    <n v="360000"/>
    <n v="2390000"/>
  </r>
  <r>
    <s v="김주성"/>
    <x v="2"/>
    <x v="0"/>
    <n v="4"/>
    <n v="3700000"/>
    <n v="1500000"/>
    <n v="680000"/>
    <n v="4520000"/>
  </r>
  <r>
    <s v="한은주"/>
    <x v="2"/>
    <x v="1"/>
    <n v="4"/>
    <n v="2880000"/>
    <n v="1350000"/>
    <n v="550000"/>
    <n v="3680000"/>
  </r>
  <r>
    <s v="이장원"/>
    <x v="2"/>
    <x v="2"/>
    <n v="3"/>
    <n v="2100000"/>
    <n v="1200000"/>
    <n v="430000"/>
    <n v="2870000"/>
  </r>
  <r>
    <s v="김선길"/>
    <x v="2"/>
    <x v="3"/>
    <n v="1"/>
    <n v="1800000"/>
    <n v="800000"/>
    <n v="340000"/>
    <n v="226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714A0-095D-453A-BAE2-09738574AD7A}" name="피벗 테이블1" cacheId="3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outline="1" outlineData="1" multipleFieldFilters="0">
  <location ref="A20:D25" firstHeaderRow="1" firstDataRow="2" firstDataCol="1"/>
  <pivotFields count="8">
    <pivotField showAll="0"/>
    <pivotField axis="axisCol" showAll="0">
      <items count="4">
        <item x="0"/>
        <item x="1"/>
        <item h="1" x="2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showAll="0"/>
    <pivotField numFmtId="41" showAll="0"/>
    <pivotField numFmtId="41" showAll="0"/>
    <pivotField numFmtId="41" showAll="0"/>
    <pivotField dataField="1" numFmtId="41" showAll="0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1"/>
  </colFields>
  <colItems count="3">
    <i>
      <x/>
    </i>
    <i>
      <x v="1"/>
    </i>
    <i t="grand">
      <x/>
    </i>
  </colItems>
  <dataFields count="1">
    <dataField name="평균 : 실수령액" fld="7" subtotal="average" baseField="2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9"/>
  <sheetViews>
    <sheetView workbookViewId="0">
      <selection activeCell="M15" sqref="M15"/>
    </sheetView>
  </sheetViews>
  <sheetFormatPr defaultRowHeight="17.399999999999999" x14ac:dyDescent="0.4"/>
  <cols>
    <col min="3" max="3" width="11" bestFit="1" customWidth="1"/>
  </cols>
  <sheetData>
    <row r="1" spans="1:6" x14ac:dyDescent="0.4">
      <c r="A1" t="s">
        <v>0</v>
      </c>
    </row>
    <row r="3" spans="1:6" x14ac:dyDescent="0.4">
      <c r="A3" s="1"/>
      <c r="B3" s="1"/>
      <c r="C3" s="1"/>
      <c r="D3" s="1"/>
      <c r="E3" s="1"/>
      <c r="F3" s="1"/>
    </row>
    <row r="4" spans="1:6" x14ac:dyDescent="0.4">
      <c r="A4" s="1"/>
      <c r="B4" s="1"/>
      <c r="C4" s="1"/>
      <c r="D4" s="1"/>
      <c r="E4" s="2"/>
      <c r="F4" s="2"/>
    </row>
    <row r="5" spans="1:6" x14ac:dyDescent="0.4">
      <c r="A5" s="1"/>
      <c r="B5" s="1"/>
      <c r="C5" s="1"/>
      <c r="D5" s="1"/>
      <c r="E5" s="2"/>
      <c r="F5" s="2"/>
    </row>
    <row r="6" spans="1:6" x14ac:dyDescent="0.4">
      <c r="A6" s="1"/>
      <c r="B6" s="1"/>
      <c r="C6" s="1"/>
      <c r="D6" s="1"/>
      <c r="E6" s="2"/>
      <c r="F6" s="2"/>
    </row>
    <row r="7" spans="1:6" x14ac:dyDescent="0.4">
      <c r="A7" s="1"/>
      <c r="B7" s="1"/>
      <c r="C7" s="1"/>
      <c r="D7" s="1"/>
      <c r="E7" s="2"/>
      <c r="F7" s="2"/>
    </row>
    <row r="8" spans="1:6" x14ac:dyDescent="0.4">
      <c r="A8" s="1"/>
      <c r="B8" s="1"/>
      <c r="C8" s="1"/>
      <c r="D8" s="1"/>
      <c r="E8" s="2"/>
      <c r="F8" s="2"/>
    </row>
    <row r="9" spans="1:6" x14ac:dyDescent="0.4">
      <c r="A9" s="1"/>
      <c r="B9" s="1"/>
      <c r="C9" s="1"/>
      <c r="D9" s="1"/>
      <c r="E9" s="2"/>
      <c r="F9" s="2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3"/>
  <sheetViews>
    <sheetView workbookViewId="0">
      <selection activeCell="D25" sqref="D25"/>
    </sheetView>
  </sheetViews>
  <sheetFormatPr defaultRowHeight="17.399999999999999" x14ac:dyDescent="0.4"/>
  <cols>
    <col min="2" max="2" width="15" bestFit="1" customWidth="1"/>
  </cols>
  <sheetData>
    <row r="1" spans="1:6" ht="25.05" customHeight="1" x14ac:dyDescent="0.4">
      <c r="A1" s="23" t="s">
        <v>2</v>
      </c>
      <c r="B1" s="23"/>
      <c r="C1" s="23"/>
      <c r="D1" s="23"/>
      <c r="E1" s="23"/>
      <c r="F1" s="23"/>
    </row>
    <row r="2" spans="1:6" ht="18" thickBot="1" x14ac:dyDescent="0.45"/>
    <row r="3" spans="1:6" x14ac:dyDescent="0.4">
      <c r="A3" s="24" t="s">
        <v>3</v>
      </c>
      <c r="B3" s="25" t="s">
        <v>4</v>
      </c>
      <c r="C3" s="25" t="s">
        <v>260</v>
      </c>
      <c r="D3" s="25" t="s">
        <v>5</v>
      </c>
      <c r="E3" s="25" t="s">
        <v>6</v>
      </c>
      <c r="F3" s="26" t="s">
        <v>7</v>
      </c>
    </row>
    <row r="4" spans="1:6" x14ac:dyDescent="0.4">
      <c r="A4" s="27" t="s">
        <v>8</v>
      </c>
      <c r="B4" s="3" t="s">
        <v>9</v>
      </c>
      <c r="C4" s="22" t="s">
        <v>10</v>
      </c>
      <c r="D4" s="3">
        <v>60</v>
      </c>
      <c r="E4" s="3" t="s">
        <v>11</v>
      </c>
      <c r="F4" s="28" t="s">
        <v>12</v>
      </c>
    </row>
    <row r="5" spans="1:6" x14ac:dyDescent="0.4">
      <c r="A5" s="27" t="s">
        <v>13</v>
      </c>
      <c r="B5" s="3" t="s">
        <v>14</v>
      </c>
      <c r="C5" s="22"/>
      <c r="D5" s="3">
        <v>53</v>
      </c>
      <c r="E5" s="3" t="s">
        <v>15</v>
      </c>
      <c r="F5" s="28" t="s">
        <v>16</v>
      </c>
    </row>
    <row r="6" spans="1:6" x14ac:dyDescent="0.4">
      <c r="A6" s="27" t="s">
        <v>17</v>
      </c>
      <c r="B6" s="3" t="s">
        <v>18</v>
      </c>
      <c r="C6" s="22"/>
      <c r="D6" s="3">
        <v>47</v>
      </c>
      <c r="E6" s="3" t="s">
        <v>19</v>
      </c>
      <c r="F6" s="28" t="s">
        <v>20</v>
      </c>
    </row>
    <row r="7" spans="1:6" x14ac:dyDescent="0.4">
      <c r="A7" s="27" t="s">
        <v>21</v>
      </c>
      <c r="B7" s="3" t="s">
        <v>22</v>
      </c>
      <c r="C7" s="22"/>
      <c r="D7" s="3">
        <v>60</v>
      </c>
      <c r="E7" s="3" t="s">
        <v>23</v>
      </c>
      <c r="F7" s="28" t="s">
        <v>24</v>
      </c>
    </row>
    <row r="8" spans="1:6" x14ac:dyDescent="0.4">
      <c r="A8" s="27" t="s">
        <v>25</v>
      </c>
      <c r="B8" s="3" t="s">
        <v>26</v>
      </c>
      <c r="C8" s="22"/>
      <c r="D8" s="3">
        <v>50</v>
      </c>
      <c r="E8" s="3" t="s">
        <v>27</v>
      </c>
      <c r="F8" s="28" t="s">
        <v>28</v>
      </c>
    </row>
    <row r="9" spans="1:6" x14ac:dyDescent="0.4">
      <c r="A9" s="27" t="s">
        <v>29</v>
      </c>
      <c r="B9" s="3" t="s">
        <v>30</v>
      </c>
      <c r="C9" s="22" t="s">
        <v>31</v>
      </c>
      <c r="D9" s="3">
        <v>54</v>
      </c>
      <c r="E9" s="3" t="s">
        <v>32</v>
      </c>
      <c r="F9" s="28" t="s">
        <v>33</v>
      </c>
    </row>
    <row r="10" spans="1:6" x14ac:dyDescent="0.4">
      <c r="A10" s="27" t="s">
        <v>34</v>
      </c>
      <c r="B10" s="3" t="s">
        <v>35</v>
      </c>
      <c r="C10" s="22"/>
      <c r="D10" s="3">
        <v>50</v>
      </c>
      <c r="E10" s="3" t="s">
        <v>36</v>
      </c>
      <c r="F10" s="28" t="s">
        <v>33</v>
      </c>
    </row>
    <row r="11" spans="1:6" x14ac:dyDescent="0.4">
      <c r="A11" s="27" t="s">
        <v>37</v>
      </c>
      <c r="B11" s="3" t="s">
        <v>38</v>
      </c>
      <c r="C11" s="22"/>
      <c r="D11" s="3">
        <v>55</v>
      </c>
      <c r="E11" s="3" t="s">
        <v>39</v>
      </c>
      <c r="F11" s="28" t="s">
        <v>28</v>
      </c>
    </row>
    <row r="12" spans="1:6" x14ac:dyDescent="0.4">
      <c r="A12" s="27" t="s">
        <v>40</v>
      </c>
      <c r="B12" s="3" t="s">
        <v>41</v>
      </c>
      <c r="C12" s="22"/>
      <c r="D12" s="3">
        <v>53</v>
      </c>
      <c r="E12" s="3" t="s">
        <v>42</v>
      </c>
      <c r="F12" s="28" t="s">
        <v>43</v>
      </c>
    </row>
    <row r="13" spans="1:6" ht="18" thickBot="1" x14ac:dyDescent="0.45">
      <c r="A13" s="29" t="s">
        <v>44</v>
      </c>
      <c r="B13" s="30" t="s">
        <v>45</v>
      </c>
      <c r="C13" s="31"/>
      <c r="D13" s="30">
        <v>56</v>
      </c>
      <c r="E13" s="30" t="s">
        <v>46</v>
      </c>
      <c r="F13" s="32" t="s">
        <v>43</v>
      </c>
    </row>
  </sheetData>
  <mergeCells count="3">
    <mergeCell ref="A1:F1"/>
    <mergeCell ref="C4:C8"/>
    <mergeCell ref="C9:C1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8"/>
  <sheetViews>
    <sheetView workbookViewId="0">
      <selection activeCell="J16" sqref="J16"/>
    </sheetView>
  </sheetViews>
  <sheetFormatPr defaultRowHeight="17.399999999999999" x14ac:dyDescent="0.4"/>
  <cols>
    <col min="1" max="1" width="13" bestFit="1" customWidth="1"/>
    <col min="2" max="2" width="9.59765625" bestFit="1" customWidth="1"/>
    <col min="5" max="7" width="10" bestFit="1" customWidth="1"/>
  </cols>
  <sheetData>
    <row r="1" spans="1:8" ht="21" x14ac:dyDescent="0.4">
      <c r="A1" s="16" t="s">
        <v>47</v>
      </c>
      <c r="B1" s="16"/>
      <c r="C1" s="16"/>
      <c r="D1" s="16"/>
      <c r="E1" s="16"/>
      <c r="F1" s="16"/>
      <c r="G1" s="16"/>
      <c r="H1" s="16"/>
    </row>
    <row r="3" spans="1:8" x14ac:dyDescent="0.4">
      <c r="A3" s="3" t="s">
        <v>48</v>
      </c>
      <c r="B3" s="3" t="s">
        <v>49</v>
      </c>
      <c r="C3" s="3" t="s">
        <v>1</v>
      </c>
      <c r="D3" s="3" t="s">
        <v>50</v>
      </c>
      <c r="E3" s="3" t="s">
        <v>51</v>
      </c>
      <c r="F3" s="3" t="s">
        <v>52</v>
      </c>
      <c r="G3" s="3" t="s">
        <v>53</v>
      </c>
      <c r="H3" s="3" t="s">
        <v>54</v>
      </c>
    </row>
    <row r="4" spans="1:8" x14ac:dyDescent="0.4">
      <c r="A4" s="3" t="s">
        <v>55</v>
      </c>
      <c r="B4" s="3" t="s">
        <v>56</v>
      </c>
      <c r="C4" s="3" t="s">
        <v>57</v>
      </c>
      <c r="D4" s="3" t="s">
        <v>58</v>
      </c>
      <c r="E4" s="3">
        <v>654</v>
      </c>
      <c r="F4" s="3">
        <v>530</v>
      </c>
      <c r="G4" s="3">
        <v>631</v>
      </c>
      <c r="H4" s="4">
        <f>SUM(E4:G4)</f>
        <v>1815</v>
      </c>
    </row>
    <row r="5" spans="1:8" x14ac:dyDescent="0.4">
      <c r="A5" s="3" t="s">
        <v>59</v>
      </c>
      <c r="B5" s="3" t="s">
        <v>60</v>
      </c>
      <c r="C5" s="3" t="s">
        <v>61</v>
      </c>
      <c r="D5" s="3" t="s">
        <v>62</v>
      </c>
      <c r="E5" s="3">
        <v>248</v>
      </c>
      <c r="F5" s="3">
        <v>239</v>
      </c>
      <c r="G5" s="3">
        <v>266</v>
      </c>
      <c r="H5" s="4">
        <f t="shared" ref="H5:H18" si="0">SUM(E5:G5)</f>
        <v>753</v>
      </c>
    </row>
    <row r="6" spans="1:8" x14ac:dyDescent="0.4">
      <c r="A6" s="3" t="s">
        <v>63</v>
      </c>
      <c r="B6" s="3" t="s">
        <v>64</v>
      </c>
      <c r="C6" s="3" t="s">
        <v>65</v>
      </c>
      <c r="D6" s="3" t="s">
        <v>66</v>
      </c>
      <c r="E6" s="3">
        <v>357</v>
      </c>
      <c r="F6" s="3">
        <v>289</v>
      </c>
      <c r="G6" s="3">
        <v>344</v>
      </c>
      <c r="H6" s="4">
        <f t="shared" si="0"/>
        <v>990</v>
      </c>
    </row>
    <row r="7" spans="1:8" x14ac:dyDescent="0.4">
      <c r="A7" s="3" t="s">
        <v>67</v>
      </c>
      <c r="B7" s="3" t="s">
        <v>68</v>
      </c>
      <c r="C7" s="3" t="s">
        <v>65</v>
      </c>
      <c r="D7" s="3" t="s">
        <v>69</v>
      </c>
      <c r="E7" s="3">
        <v>512</v>
      </c>
      <c r="F7" s="3">
        <v>415</v>
      </c>
      <c r="G7" s="3">
        <v>494</v>
      </c>
      <c r="H7" s="4">
        <f t="shared" si="0"/>
        <v>1421</v>
      </c>
    </row>
    <row r="8" spans="1:8" x14ac:dyDescent="0.4">
      <c r="A8" s="3" t="s">
        <v>70</v>
      </c>
      <c r="B8" s="3" t="s">
        <v>71</v>
      </c>
      <c r="C8" s="3" t="s">
        <v>61</v>
      </c>
      <c r="D8" s="3" t="s">
        <v>72</v>
      </c>
      <c r="E8" s="3">
        <v>686</v>
      </c>
      <c r="F8" s="3">
        <v>662</v>
      </c>
      <c r="G8" s="3">
        <v>556</v>
      </c>
      <c r="H8" s="4">
        <f t="shared" si="0"/>
        <v>1904</v>
      </c>
    </row>
    <row r="9" spans="1:8" x14ac:dyDescent="0.4">
      <c r="A9" s="3" t="s">
        <v>73</v>
      </c>
      <c r="B9" s="3" t="s">
        <v>74</v>
      </c>
      <c r="C9" s="3" t="s">
        <v>57</v>
      </c>
      <c r="D9" s="3" t="s">
        <v>75</v>
      </c>
      <c r="E9" s="3">
        <v>533</v>
      </c>
      <c r="F9" s="3">
        <v>514</v>
      </c>
      <c r="G9" s="3">
        <v>432</v>
      </c>
      <c r="H9" s="4">
        <f t="shared" si="0"/>
        <v>1479</v>
      </c>
    </row>
    <row r="10" spans="1:8" x14ac:dyDescent="0.4">
      <c r="A10" s="3" t="s">
        <v>76</v>
      </c>
      <c r="B10" s="3" t="s">
        <v>77</v>
      </c>
      <c r="C10" s="3" t="s">
        <v>61</v>
      </c>
      <c r="D10" s="3" t="s">
        <v>78</v>
      </c>
      <c r="E10" s="3">
        <v>384</v>
      </c>
      <c r="F10" s="3">
        <v>311</v>
      </c>
      <c r="G10" s="3">
        <v>370</v>
      </c>
      <c r="H10" s="4">
        <f t="shared" si="0"/>
        <v>1065</v>
      </c>
    </row>
    <row r="11" spans="1:8" x14ac:dyDescent="0.4">
      <c r="A11" s="3" t="s">
        <v>79</v>
      </c>
      <c r="B11" s="3" t="s">
        <v>80</v>
      </c>
      <c r="C11" s="3" t="s">
        <v>65</v>
      </c>
      <c r="D11" s="3" t="s">
        <v>81</v>
      </c>
      <c r="E11" s="3">
        <v>527</v>
      </c>
      <c r="F11" s="3">
        <v>508</v>
      </c>
      <c r="G11" s="3">
        <v>427</v>
      </c>
      <c r="H11" s="4">
        <f t="shared" si="0"/>
        <v>1462</v>
      </c>
    </row>
    <row r="12" spans="1:8" x14ac:dyDescent="0.4">
      <c r="A12" s="3" t="s">
        <v>82</v>
      </c>
      <c r="B12" s="3" t="s">
        <v>83</v>
      </c>
      <c r="C12" s="3" t="s">
        <v>65</v>
      </c>
      <c r="D12" s="3" t="s">
        <v>84</v>
      </c>
      <c r="E12" s="3">
        <v>435</v>
      </c>
      <c r="F12" s="3">
        <v>419</v>
      </c>
      <c r="G12" s="3">
        <v>352</v>
      </c>
      <c r="H12" s="4">
        <f t="shared" si="0"/>
        <v>1206</v>
      </c>
    </row>
    <row r="13" spans="1:8" x14ac:dyDescent="0.4">
      <c r="A13" s="3" t="s">
        <v>85</v>
      </c>
      <c r="B13" s="3" t="s">
        <v>86</v>
      </c>
      <c r="C13" s="3" t="s">
        <v>57</v>
      </c>
      <c r="D13" s="3" t="s">
        <v>87</v>
      </c>
      <c r="E13" s="3">
        <v>246</v>
      </c>
      <c r="F13" s="3">
        <v>199</v>
      </c>
      <c r="G13" s="3">
        <v>237</v>
      </c>
      <c r="H13" s="4">
        <f t="shared" si="0"/>
        <v>682</v>
      </c>
    </row>
    <row r="14" spans="1:8" x14ac:dyDescent="0.4">
      <c r="A14" s="3" t="s">
        <v>88</v>
      </c>
      <c r="B14" s="3" t="s">
        <v>89</v>
      </c>
      <c r="C14" s="3" t="s">
        <v>61</v>
      </c>
      <c r="D14" s="3" t="s">
        <v>78</v>
      </c>
      <c r="E14" s="3">
        <v>644</v>
      </c>
      <c r="F14" s="3">
        <v>522</v>
      </c>
      <c r="G14" s="3">
        <v>681</v>
      </c>
      <c r="H14" s="4">
        <f t="shared" si="0"/>
        <v>1847</v>
      </c>
    </row>
    <row r="15" spans="1:8" x14ac:dyDescent="0.4">
      <c r="A15" s="3" t="s">
        <v>90</v>
      </c>
      <c r="B15" s="3" t="s">
        <v>91</v>
      </c>
      <c r="C15" s="3" t="s">
        <v>61</v>
      </c>
      <c r="D15" s="3" t="s">
        <v>78</v>
      </c>
      <c r="E15" s="3">
        <v>385</v>
      </c>
      <c r="F15" s="3">
        <v>312</v>
      </c>
      <c r="G15" s="3">
        <v>400</v>
      </c>
      <c r="H15" s="4">
        <f t="shared" si="0"/>
        <v>1097</v>
      </c>
    </row>
    <row r="16" spans="1:8" x14ac:dyDescent="0.4">
      <c r="A16" s="3" t="s">
        <v>92</v>
      </c>
      <c r="B16" s="3" t="s">
        <v>93</v>
      </c>
      <c r="C16" s="3" t="s">
        <v>57</v>
      </c>
      <c r="D16" s="3" t="s">
        <v>94</v>
      </c>
      <c r="E16" s="3">
        <v>601</v>
      </c>
      <c r="F16" s="3">
        <v>557</v>
      </c>
      <c r="G16" s="3">
        <v>628</v>
      </c>
      <c r="H16" s="4">
        <f t="shared" si="0"/>
        <v>1786</v>
      </c>
    </row>
    <row r="17" spans="1:8" x14ac:dyDescent="0.4">
      <c r="A17" s="3" t="s">
        <v>95</v>
      </c>
      <c r="B17" s="3" t="s">
        <v>96</v>
      </c>
      <c r="C17" s="3" t="s">
        <v>61</v>
      </c>
      <c r="D17" s="3" t="s">
        <v>97</v>
      </c>
      <c r="E17" s="3">
        <v>783</v>
      </c>
      <c r="F17" s="3">
        <v>834</v>
      </c>
      <c r="G17" s="3">
        <v>769</v>
      </c>
      <c r="H17" s="4">
        <f t="shared" si="0"/>
        <v>2386</v>
      </c>
    </row>
    <row r="18" spans="1:8" x14ac:dyDescent="0.4">
      <c r="A18" s="3" t="s">
        <v>98</v>
      </c>
      <c r="B18" s="3" t="s">
        <v>99</v>
      </c>
      <c r="C18" s="3" t="s">
        <v>61</v>
      </c>
      <c r="D18" s="3" t="s">
        <v>100</v>
      </c>
      <c r="E18" s="3">
        <v>346</v>
      </c>
      <c r="F18" s="3">
        <v>469</v>
      </c>
      <c r="G18" s="3">
        <v>422</v>
      </c>
      <c r="H18" s="4">
        <f t="shared" si="0"/>
        <v>1237</v>
      </c>
    </row>
  </sheetData>
  <mergeCells count="1">
    <mergeCell ref="A1:H1"/>
  </mergeCells>
  <phoneticPr fontId="1" type="noConversion"/>
  <conditionalFormatting sqref="J9">
    <cfRule type="expression" dxfId="1" priority="2">
      <formula>AND($C4="농산물",$H4&gt;=1500)</formula>
    </cfRule>
  </conditionalFormatting>
  <conditionalFormatting sqref="A4:H18">
    <cfRule type="expression" dxfId="0" priority="1">
      <formula>AND($C4="농산물",$H4&gt;=1500)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5"/>
  <sheetViews>
    <sheetView tabSelected="1" topLeftCell="A9" zoomScale="85" zoomScaleNormal="85" workbookViewId="0">
      <selection activeCell="H25" sqref="H25"/>
    </sheetView>
  </sheetViews>
  <sheetFormatPr defaultRowHeight="17.399999999999999" x14ac:dyDescent="0.4"/>
  <cols>
    <col min="4" max="4" width="12.3984375" bestFit="1" customWidth="1"/>
    <col min="6" max="6" width="10.3984375" bestFit="1" customWidth="1"/>
  </cols>
  <sheetData>
    <row r="1" spans="1:10" x14ac:dyDescent="0.4">
      <c r="A1" s="6" t="s">
        <v>129</v>
      </c>
      <c r="B1" s="7" t="s">
        <v>130</v>
      </c>
      <c r="F1" s="6" t="s">
        <v>131</v>
      </c>
      <c r="G1" s="7" t="s">
        <v>132</v>
      </c>
    </row>
    <row r="2" spans="1:10" x14ac:dyDescent="0.4">
      <c r="A2" s="3" t="s">
        <v>133</v>
      </c>
      <c r="B2" s="3" t="s">
        <v>134</v>
      </c>
      <c r="F2" s="3" t="s">
        <v>135</v>
      </c>
      <c r="G2" s="3" t="s">
        <v>136</v>
      </c>
      <c r="H2" s="3" t="s">
        <v>137</v>
      </c>
      <c r="I2" s="3" t="s">
        <v>138</v>
      </c>
      <c r="J2" s="8" t="s">
        <v>139</v>
      </c>
    </row>
    <row r="3" spans="1:10" x14ac:dyDescent="0.4">
      <c r="A3" s="3" t="s">
        <v>140</v>
      </c>
      <c r="B3" s="9">
        <v>1213.9100000000001</v>
      </c>
      <c r="F3" s="3" t="s">
        <v>141</v>
      </c>
      <c r="G3" s="3" t="s">
        <v>142</v>
      </c>
      <c r="H3" s="10">
        <v>0.5587037037037037</v>
      </c>
      <c r="I3" s="10">
        <v>0.5822222222222222</v>
      </c>
      <c r="J3" s="10">
        <f>IF(RIGHT(F3,3)="자동차",(I3-H3)+TIME(0,2,0),I3-H3)</f>
        <v>2.3518518518518494E-2</v>
      </c>
    </row>
    <row r="4" spans="1:10" x14ac:dyDescent="0.4">
      <c r="A4" s="3" t="s">
        <v>143</v>
      </c>
      <c r="B4" s="9">
        <v>915.52</v>
      </c>
      <c r="F4" s="3" t="s">
        <v>144</v>
      </c>
      <c r="G4" s="3" t="s">
        <v>145</v>
      </c>
      <c r="H4" s="10">
        <v>0.58013888888888887</v>
      </c>
      <c r="I4" s="10">
        <v>0.60688657407407409</v>
      </c>
      <c r="J4" s="10">
        <f t="shared" ref="J4:J9" si="0">IF(RIGHT(F4,3)="자동차",(I4-H4)+TIME(0,2,0),I4-H4)</f>
        <v>2.8136574074074109E-2</v>
      </c>
    </row>
    <row r="5" spans="1:10" x14ac:dyDescent="0.4">
      <c r="A5" s="3" t="s">
        <v>146</v>
      </c>
      <c r="B5" s="9">
        <v>1591.79</v>
      </c>
      <c r="F5" s="3" t="s">
        <v>147</v>
      </c>
      <c r="G5" s="3" t="s">
        <v>148</v>
      </c>
      <c r="H5" s="10">
        <v>0.5663541666666666</v>
      </c>
      <c r="I5" s="10">
        <v>0.60390046296296296</v>
      </c>
      <c r="J5" s="10">
        <f t="shared" si="0"/>
        <v>3.7546296296296355E-2</v>
      </c>
    </row>
    <row r="6" spans="1:10" x14ac:dyDescent="0.4">
      <c r="A6" s="3" t="s">
        <v>149</v>
      </c>
      <c r="B6" s="9">
        <v>990.44</v>
      </c>
      <c r="D6" s="8" t="s">
        <v>150</v>
      </c>
      <c r="F6" s="3" t="s">
        <v>151</v>
      </c>
      <c r="G6" s="3" t="s">
        <v>152</v>
      </c>
      <c r="H6" s="10">
        <v>0.55435185185185187</v>
      </c>
      <c r="I6" s="10">
        <v>0.57571759259259259</v>
      </c>
      <c r="J6" s="10">
        <f t="shared" si="0"/>
        <v>2.1365740740740713E-2</v>
      </c>
    </row>
    <row r="7" spans="1:10" x14ac:dyDescent="0.4">
      <c r="A7" s="3" t="s">
        <v>153</v>
      </c>
      <c r="B7" s="9">
        <v>190.58</v>
      </c>
      <c r="C7" s="8" t="s">
        <v>154</v>
      </c>
      <c r="D7" s="3">
        <f>TRUNC(INDEX(A3:B7,MATCH(C7,$A$3:$A$7,0),2),0)</f>
        <v>915</v>
      </c>
      <c r="F7" s="3" t="s">
        <v>155</v>
      </c>
      <c r="G7" s="3" t="s">
        <v>156</v>
      </c>
      <c r="H7" s="10">
        <v>0.56436342592592592</v>
      </c>
      <c r="I7" s="10">
        <v>0.59150462962962969</v>
      </c>
      <c r="J7" s="10">
        <f t="shared" si="0"/>
        <v>2.8530092592592652E-2</v>
      </c>
    </row>
    <row r="8" spans="1:10" x14ac:dyDescent="0.4">
      <c r="F8" s="3" t="s">
        <v>157</v>
      </c>
      <c r="G8" s="3" t="s">
        <v>158</v>
      </c>
      <c r="H8" s="10">
        <v>0.57093749999999999</v>
      </c>
      <c r="I8" s="10">
        <v>0.60993055555555553</v>
      </c>
      <c r="J8" s="10">
        <f t="shared" si="0"/>
        <v>4.0381944444444436E-2</v>
      </c>
    </row>
    <row r="9" spans="1:10" x14ac:dyDescent="0.4">
      <c r="F9" s="3" t="s">
        <v>159</v>
      </c>
      <c r="G9" s="3" t="s">
        <v>160</v>
      </c>
      <c r="H9" s="10">
        <v>0.56136574074074075</v>
      </c>
      <c r="I9" s="10">
        <v>0.58783564814814815</v>
      </c>
      <c r="J9" s="10">
        <f t="shared" si="0"/>
        <v>2.64699074074074E-2</v>
      </c>
    </row>
    <row r="10" spans="1:10" x14ac:dyDescent="0.4">
      <c r="A10" s="6" t="s">
        <v>161</v>
      </c>
      <c r="B10" s="7" t="s">
        <v>162</v>
      </c>
      <c r="D10" s="11"/>
    </row>
    <row r="11" spans="1:10" x14ac:dyDescent="0.4">
      <c r="A11" s="3" t="s">
        <v>163</v>
      </c>
      <c r="B11" s="3" t="s">
        <v>164</v>
      </c>
      <c r="C11" s="3" t="s">
        <v>165</v>
      </c>
      <c r="D11" s="3" t="s">
        <v>166</v>
      </c>
      <c r="G11" s="12" t="s">
        <v>167</v>
      </c>
      <c r="H11" s="7" t="s">
        <v>168</v>
      </c>
    </row>
    <row r="12" spans="1:10" x14ac:dyDescent="0.4">
      <c r="A12" s="3" t="s">
        <v>169</v>
      </c>
      <c r="B12" s="3" t="s">
        <v>170</v>
      </c>
      <c r="C12" s="13">
        <v>3388</v>
      </c>
      <c r="D12" s="13">
        <f t="shared" ref="D12:D19" si="1">C12*1283</f>
        <v>4346804</v>
      </c>
      <c r="G12" s="3" t="s">
        <v>103</v>
      </c>
      <c r="H12" s="3" t="s">
        <v>171</v>
      </c>
      <c r="I12" s="3" t="s">
        <v>172</v>
      </c>
      <c r="J12" s="3" t="s">
        <v>102</v>
      </c>
    </row>
    <row r="13" spans="1:10" x14ac:dyDescent="0.4">
      <c r="A13" s="3" t="s">
        <v>173</v>
      </c>
      <c r="B13" s="3" t="s">
        <v>174</v>
      </c>
      <c r="C13" s="13">
        <v>2461</v>
      </c>
      <c r="D13" s="13">
        <f t="shared" si="1"/>
        <v>3157463</v>
      </c>
      <c r="G13" s="3" t="s">
        <v>175</v>
      </c>
      <c r="H13" s="3" t="s">
        <v>114</v>
      </c>
      <c r="I13" s="3">
        <v>645</v>
      </c>
      <c r="J13" s="3" t="s">
        <v>176</v>
      </c>
    </row>
    <row r="14" spans="1:10" x14ac:dyDescent="0.4">
      <c r="A14" s="3" t="s">
        <v>177</v>
      </c>
      <c r="B14" s="3" t="s">
        <v>170</v>
      </c>
      <c r="C14" s="13">
        <v>2959</v>
      </c>
      <c r="D14" s="13">
        <f t="shared" si="1"/>
        <v>3796397</v>
      </c>
      <c r="G14" s="3" t="s">
        <v>178</v>
      </c>
      <c r="H14" s="3" t="s">
        <v>114</v>
      </c>
      <c r="I14" s="3">
        <v>574</v>
      </c>
      <c r="J14" s="3" t="s">
        <v>179</v>
      </c>
    </row>
    <row r="15" spans="1:10" x14ac:dyDescent="0.4">
      <c r="A15" s="3" t="s">
        <v>180</v>
      </c>
      <c r="B15" s="3" t="s">
        <v>181</v>
      </c>
      <c r="C15" s="13">
        <v>3796</v>
      </c>
      <c r="D15" s="13">
        <f t="shared" si="1"/>
        <v>4870268</v>
      </c>
      <c r="G15" s="3" t="s">
        <v>182</v>
      </c>
      <c r="H15" s="3" t="s">
        <v>114</v>
      </c>
      <c r="I15" s="3">
        <v>429</v>
      </c>
      <c r="J15" s="3" t="s">
        <v>183</v>
      </c>
    </row>
    <row r="16" spans="1:10" x14ac:dyDescent="0.4">
      <c r="A16" s="3" t="s">
        <v>184</v>
      </c>
      <c r="B16" s="3" t="s">
        <v>170</v>
      </c>
      <c r="C16" s="13">
        <v>3502</v>
      </c>
      <c r="D16" s="13">
        <f t="shared" si="1"/>
        <v>4493066</v>
      </c>
      <c r="G16" s="3" t="s">
        <v>175</v>
      </c>
      <c r="H16" s="3" t="s">
        <v>116</v>
      </c>
      <c r="I16" s="3">
        <v>721</v>
      </c>
      <c r="J16" s="3" t="s">
        <v>185</v>
      </c>
    </row>
    <row r="17" spans="1:10" x14ac:dyDescent="0.4">
      <c r="A17" s="3" t="s">
        <v>186</v>
      </c>
      <c r="B17" s="3" t="s">
        <v>170</v>
      </c>
      <c r="C17" s="13">
        <v>2681</v>
      </c>
      <c r="D17" s="13">
        <f t="shared" si="1"/>
        <v>3439723</v>
      </c>
      <c r="G17" s="3" t="s">
        <v>178</v>
      </c>
      <c r="H17" s="3" t="s">
        <v>116</v>
      </c>
      <c r="I17" s="3">
        <v>827</v>
      </c>
      <c r="J17" s="3" t="s">
        <v>187</v>
      </c>
    </row>
    <row r="18" spans="1:10" x14ac:dyDescent="0.4">
      <c r="A18" s="3" t="s">
        <v>188</v>
      </c>
      <c r="B18" s="3" t="s">
        <v>174</v>
      </c>
      <c r="C18" s="13">
        <v>4034</v>
      </c>
      <c r="D18" s="13">
        <f t="shared" si="1"/>
        <v>5175622</v>
      </c>
      <c r="G18" s="3" t="s">
        <v>182</v>
      </c>
      <c r="H18" s="3" t="s">
        <v>116</v>
      </c>
      <c r="I18" s="3">
        <v>704</v>
      </c>
      <c r="J18" s="3" t="s">
        <v>189</v>
      </c>
    </row>
    <row r="19" spans="1:10" x14ac:dyDescent="0.4">
      <c r="A19" s="3" t="s">
        <v>190</v>
      </c>
      <c r="B19" s="3" t="s">
        <v>181</v>
      </c>
      <c r="C19" s="13">
        <v>3498</v>
      </c>
      <c r="D19" s="13">
        <f t="shared" si="1"/>
        <v>4487934</v>
      </c>
      <c r="G19" s="3" t="s">
        <v>175</v>
      </c>
      <c r="H19" s="3" t="s">
        <v>118</v>
      </c>
      <c r="I19" s="3">
        <v>628</v>
      </c>
      <c r="J19" s="3" t="s">
        <v>191</v>
      </c>
    </row>
    <row r="20" spans="1:10" x14ac:dyDescent="0.4">
      <c r="G20" s="3" t="s">
        <v>178</v>
      </c>
      <c r="H20" s="3" t="s">
        <v>118</v>
      </c>
      <c r="I20" s="3">
        <v>699</v>
      </c>
      <c r="J20" s="3" t="s">
        <v>192</v>
      </c>
    </row>
    <row r="21" spans="1:10" x14ac:dyDescent="0.4">
      <c r="C21" s="3" t="s">
        <v>164</v>
      </c>
      <c r="D21" s="8" t="s">
        <v>193</v>
      </c>
      <c r="G21" s="3" t="s">
        <v>182</v>
      </c>
      <c r="H21" s="3" t="s">
        <v>118</v>
      </c>
      <c r="I21" s="3">
        <v>763</v>
      </c>
      <c r="J21" s="3" t="s">
        <v>194</v>
      </c>
    </row>
    <row r="22" spans="1:10" x14ac:dyDescent="0.4">
      <c r="C22" s="3" t="s">
        <v>174</v>
      </c>
      <c r="D22" s="14">
        <f>ROUND(DAVERAGE(A11:D19,D11,C21:C22),1)</f>
        <v>4422821.8</v>
      </c>
      <c r="G22" s="17" t="s">
        <v>195</v>
      </c>
      <c r="H22" s="18"/>
      <c r="I22" s="19"/>
      <c r="J22" s="3" t="str">
        <f>VLOOKUP(DMAX(G12:J21,I12,G12:G13),I12:J21,2,FALSE)</f>
        <v>이상희</v>
      </c>
    </row>
    <row r="24" spans="1:10" x14ac:dyDescent="0.4">
      <c r="A24" s="6" t="s">
        <v>196</v>
      </c>
      <c r="B24" s="7" t="s">
        <v>197</v>
      </c>
    </row>
    <row r="25" spans="1:10" x14ac:dyDescent="0.4">
      <c r="A25" s="3" t="s">
        <v>198</v>
      </c>
      <c r="B25" s="3" t="s">
        <v>199</v>
      </c>
      <c r="C25" s="3" t="s">
        <v>200</v>
      </c>
      <c r="D25" s="3" t="s">
        <v>201</v>
      </c>
      <c r="E25" s="8" t="s">
        <v>202</v>
      </c>
    </row>
    <row r="26" spans="1:10" x14ac:dyDescent="0.4">
      <c r="A26" s="3" t="s">
        <v>203</v>
      </c>
      <c r="B26" s="3">
        <v>64</v>
      </c>
      <c r="C26" s="3">
        <v>70</v>
      </c>
      <c r="D26" s="3">
        <f>SUM(B26:C26)</f>
        <v>134</v>
      </c>
      <c r="E26" s="3" t="str">
        <f>IF(AND(B26&gt;=40,C26&gt;=40,AVERAGE(B26:C26)&gt;=60),"합격","불합격")</f>
        <v>합격</v>
      </c>
    </row>
    <row r="27" spans="1:10" x14ac:dyDescent="0.4">
      <c r="A27" s="3" t="s">
        <v>204</v>
      </c>
      <c r="B27" s="3">
        <v>95</v>
      </c>
      <c r="C27" s="3">
        <v>91</v>
      </c>
      <c r="D27" s="3">
        <f t="shared" ref="D27:D35" si="2">SUM(B27:C27)</f>
        <v>186</v>
      </c>
      <c r="E27" s="3" t="str">
        <f t="shared" ref="E27:E35" si="3">IF(AND(B27&gt;=40,C27&gt;=40,AVERAGE(B27:C27)&gt;=60),"합격","불합격")</f>
        <v>합격</v>
      </c>
    </row>
    <row r="28" spans="1:10" x14ac:dyDescent="0.4">
      <c r="A28" s="3" t="s">
        <v>205</v>
      </c>
      <c r="B28" s="3">
        <v>37</v>
      </c>
      <c r="C28" s="3">
        <v>61</v>
      </c>
      <c r="D28" s="3">
        <f t="shared" si="2"/>
        <v>98</v>
      </c>
      <c r="E28" s="3" t="str">
        <f t="shared" si="3"/>
        <v>불합격</v>
      </c>
    </row>
    <row r="29" spans="1:10" x14ac:dyDescent="0.4">
      <c r="A29" s="3" t="s">
        <v>206</v>
      </c>
      <c r="B29" s="3">
        <v>88</v>
      </c>
      <c r="C29" s="3">
        <v>93</v>
      </c>
      <c r="D29" s="3">
        <f t="shared" si="2"/>
        <v>181</v>
      </c>
      <c r="E29" s="3" t="str">
        <f t="shared" si="3"/>
        <v>합격</v>
      </c>
    </row>
    <row r="30" spans="1:10" x14ac:dyDescent="0.4">
      <c r="A30" s="3" t="s">
        <v>207</v>
      </c>
      <c r="B30" s="3">
        <v>90</v>
      </c>
      <c r="C30" s="3">
        <v>94</v>
      </c>
      <c r="D30" s="3">
        <f t="shared" si="2"/>
        <v>184</v>
      </c>
      <c r="E30" s="3" t="str">
        <f t="shared" si="3"/>
        <v>합격</v>
      </c>
    </row>
    <row r="31" spans="1:10" x14ac:dyDescent="0.4">
      <c r="A31" s="3" t="s">
        <v>208</v>
      </c>
      <c r="B31" s="3">
        <v>57</v>
      </c>
      <c r="C31" s="3">
        <v>59</v>
      </c>
      <c r="D31" s="3">
        <f t="shared" si="2"/>
        <v>116</v>
      </c>
      <c r="E31" s="3" t="str">
        <f t="shared" si="3"/>
        <v>불합격</v>
      </c>
    </row>
    <row r="32" spans="1:10" x14ac:dyDescent="0.4">
      <c r="A32" s="3" t="s">
        <v>209</v>
      </c>
      <c r="B32" s="3">
        <v>77</v>
      </c>
      <c r="C32" s="3">
        <v>69</v>
      </c>
      <c r="D32" s="3">
        <f t="shared" si="2"/>
        <v>146</v>
      </c>
      <c r="E32" s="3" t="str">
        <f t="shared" si="3"/>
        <v>합격</v>
      </c>
    </row>
    <row r="33" spans="1:5" x14ac:dyDescent="0.4">
      <c r="A33" s="3" t="s">
        <v>210</v>
      </c>
      <c r="B33" s="3">
        <v>55</v>
      </c>
      <c r="C33" s="3">
        <v>39</v>
      </c>
      <c r="D33" s="3">
        <f t="shared" si="2"/>
        <v>94</v>
      </c>
      <c r="E33" s="3" t="str">
        <f t="shared" si="3"/>
        <v>불합격</v>
      </c>
    </row>
    <row r="34" spans="1:5" x14ac:dyDescent="0.4">
      <c r="A34" s="3" t="s">
        <v>211</v>
      </c>
      <c r="B34" s="3">
        <v>49</v>
      </c>
      <c r="C34" s="3">
        <v>44</v>
      </c>
      <c r="D34" s="3">
        <f t="shared" si="2"/>
        <v>93</v>
      </c>
      <c r="E34" s="3" t="str">
        <f t="shared" si="3"/>
        <v>불합격</v>
      </c>
    </row>
    <row r="35" spans="1:5" x14ac:dyDescent="0.4">
      <c r="A35" s="3" t="s">
        <v>212</v>
      </c>
      <c r="B35" s="3">
        <v>84</v>
      </c>
      <c r="C35" s="3">
        <v>76</v>
      </c>
      <c r="D35" s="3">
        <f t="shared" si="2"/>
        <v>160</v>
      </c>
      <c r="E35" s="3" t="str">
        <f t="shared" si="3"/>
        <v>합격</v>
      </c>
    </row>
  </sheetData>
  <mergeCells count="1">
    <mergeCell ref="G22:I22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5"/>
  <sheetViews>
    <sheetView workbookViewId="0">
      <selection activeCell="G38" sqref="G38"/>
    </sheetView>
  </sheetViews>
  <sheetFormatPr defaultRowHeight="17.399999999999999" x14ac:dyDescent="0.4"/>
  <cols>
    <col min="1" max="1" width="14.19921875" bestFit="1" customWidth="1"/>
    <col min="2" max="2" width="11.19921875" bestFit="1" customWidth="1"/>
    <col min="3" max="4" width="9.796875" bestFit="1" customWidth="1"/>
    <col min="5" max="5" width="10.69921875" bestFit="1" customWidth="1"/>
    <col min="6" max="6" width="10.8984375" bestFit="1" customWidth="1"/>
    <col min="7" max="7" width="9.3984375" bestFit="1" customWidth="1"/>
    <col min="8" max="8" width="10.8984375" bestFit="1" customWidth="1"/>
  </cols>
  <sheetData>
    <row r="1" spans="1:8" ht="21" x14ac:dyDescent="0.4">
      <c r="A1" s="16" t="s">
        <v>101</v>
      </c>
      <c r="B1" s="16"/>
      <c r="C1" s="16"/>
      <c r="D1" s="16"/>
      <c r="E1" s="16"/>
      <c r="F1" s="16"/>
      <c r="G1" s="16"/>
      <c r="H1" s="16"/>
    </row>
    <row r="3" spans="1:8" x14ac:dyDescent="0.4">
      <c r="A3" s="3" t="s">
        <v>102</v>
      </c>
      <c r="B3" s="3" t="s">
        <v>103</v>
      </c>
      <c r="C3" s="3" t="s">
        <v>104</v>
      </c>
      <c r="D3" s="3" t="s">
        <v>105</v>
      </c>
      <c r="E3" s="3" t="s">
        <v>106</v>
      </c>
      <c r="F3" s="3" t="s">
        <v>107</v>
      </c>
      <c r="G3" s="3" t="s">
        <v>108</v>
      </c>
      <c r="H3" s="3" t="s">
        <v>109</v>
      </c>
    </row>
    <row r="4" spans="1:8" x14ac:dyDescent="0.4">
      <c r="A4" s="3" t="s">
        <v>110</v>
      </c>
      <c r="B4" s="3" t="s">
        <v>111</v>
      </c>
      <c r="C4" s="3" t="s">
        <v>112</v>
      </c>
      <c r="D4" s="3">
        <v>6</v>
      </c>
      <c r="E4" s="5">
        <v>3800000</v>
      </c>
      <c r="F4" s="5">
        <v>1600000</v>
      </c>
      <c r="G4" s="5">
        <v>700000</v>
      </c>
      <c r="H4" s="5">
        <v>4700000</v>
      </c>
    </row>
    <row r="5" spans="1:8" x14ac:dyDescent="0.4">
      <c r="A5" s="3" t="s">
        <v>113</v>
      </c>
      <c r="B5" s="3" t="s">
        <v>111</v>
      </c>
      <c r="C5" s="3" t="s">
        <v>114</v>
      </c>
      <c r="D5" s="3">
        <v>5</v>
      </c>
      <c r="E5" s="5">
        <v>3000000</v>
      </c>
      <c r="F5" s="5">
        <v>1400000</v>
      </c>
      <c r="G5" s="5">
        <v>570000</v>
      </c>
      <c r="H5" s="5">
        <v>3830000</v>
      </c>
    </row>
    <row r="6" spans="1:8" x14ac:dyDescent="0.4">
      <c r="A6" s="3" t="s">
        <v>115</v>
      </c>
      <c r="B6" s="3" t="s">
        <v>111</v>
      </c>
      <c r="C6" s="3" t="s">
        <v>116</v>
      </c>
      <c r="D6" s="3">
        <v>1</v>
      </c>
      <c r="E6" s="5">
        <v>2000000</v>
      </c>
      <c r="F6" s="5">
        <v>1100000</v>
      </c>
      <c r="G6" s="5">
        <v>400000</v>
      </c>
      <c r="H6" s="5">
        <v>2700000</v>
      </c>
    </row>
    <row r="7" spans="1:8" x14ac:dyDescent="0.4">
      <c r="A7" s="3" t="s">
        <v>117</v>
      </c>
      <c r="B7" s="3" t="s">
        <v>111</v>
      </c>
      <c r="C7" s="3" t="s">
        <v>118</v>
      </c>
      <c r="D7" s="3">
        <v>3</v>
      </c>
      <c r="E7" s="5">
        <v>1900000</v>
      </c>
      <c r="F7" s="5">
        <v>900000</v>
      </c>
      <c r="G7" s="5">
        <v>360000</v>
      </c>
      <c r="H7" s="5">
        <v>2440000</v>
      </c>
    </row>
    <row r="8" spans="1:8" x14ac:dyDescent="0.4">
      <c r="A8" s="3" t="s">
        <v>119</v>
      </c>
      <c r="B8" s="3" t="s">
        <v>120</v>
      </c>
      <c r="C8" s="3" t="s">
        <v>112</v>
      </c>
      <c r="D8" s="3">
        <v>1</v>
      </c>
      <c r="E8" s="5">
        <v>3200000</v>
      </c>
      <c r="F8" s="5">
        <v>1500000</v>
      </c>
      <c r="G8" s="5">
        <v>610000</v>
      </c>
      <c r="H8" s="5">
        <v>4090000</v>
      </c>
    </row>
    <row r="9" spans="1:8" x14ac:dyDescent="0.4">
      <c r="A9" s="3" t="s">
        <v>121</v>
      </c>
      <c r="B9" s="3" t="s">
        <v>120</v>
      </c>
      <c r="C9" s="3" t="s">
        <v>114</v>
      </c>
      <c r="D9" s="3">
        <v>2</v>
      </c>
      <c r="E9" s="5">
        <v>2440000</v>
      </c>
      <c r="F9" s="5">
        <v>1350000</v>
      </c>
      <c r="G9" s="5">
        <v>490000</v>
      </c>
      <c r="H9" s="5">
        <v>3300000</v>
      </c>
    </row>
    <row r="10" spans="1:8" x14ac:dyDescent="0.4">
      <c r="A10" s="3" t="s">
        <v>122</v>
      </c>
      <c r="B10" s="3" t="s">
        <v>120</v>
      </c>
      <c r="C10" s="3" t="s">
        <v>116</v>
      </c>
      <c r="D10" s="3">
        <v>4</v>
      </c>
      <c r="E10" s="5">
        <v>2200000</v>
      </c>
      <c r="F10" s="5">
        <v>1200000</v>
      </c>
      <c r="G10" s="5">
        <v>440000</v>
      </c>
      <c r="H10" s="5">
        <v>2960000</v>
      </c>
    </row>
    <row r="11" spans="1:8" x14ac:dyDescent="0.4">
      <c r="A11" s="3" t="s">
        <v>123</v>
      </c>
      <c r="B11" s="3" t="s">
        <v>120</v>
      </c>
      <c r="C11" s="3" t="s">
        <v>118</v>
      </c>
      <c r="D11" s="3">
        <v>2</v>
      </c>
      <c r="E11" s="5">
        <v>1850000</v>
      </c>
      <c r="F11" s="5">
        <v>900000</v>
      </c>
      <c r="G11" s="5">
        <v>360000</v>
      </c>
      <c r="H11" s="5">
        <v>2390000</v>
      </c>
    </row>
    <row r="12" spans="1:8" x14ac:dyDescent="0.4">
      <c r="A12" s="3" t="s">
        <v>124</v>
      </c>
      <c r="B12" s="3" t="s">
        <v>125</v>
      </c>
      <c r="C12" s="3" t="s">
        <v>112</v>
      </c>
      <c r="D12" s="3">
        <v>4</v>
      </c>
      <c r="E12" s="5">
        <v>3700000</v>
      </c>
      <c r="F12" s="5">
        <v>1500000</v>
      </c>
      <c r="G12" s="5">
        <v>680000</v>
      </c>
      <c r="H12" s="5">
        <v>4520000</v>
      </c>
    </row>
    <row r="13" spans="1:8" x14ac:dyDescent="0.4">
      <c r="A13" s="3" t="s">
        <v>126</v>
      </c>
      <c r="B13" s="3" t="s">
        <v>125</v>
      </c>
      <c r="C13" s="3" t="s">
        <v>114</v>
      </c>
      <c r="D13" s="3">
        <v>4</v>
      </c>
      <c r="E13" s="5">
        <v>2880000</v>
      </c>
      <c r="F13" s="5">
        <v>1350000</v>
      </c>
      <c r="G13" s="5">
        <v>550000</v>
      </c>
      <c r="H13" s="5">
        <v>3680000</v>
      </c>
    </row>
    <row r="14" spans="1:8" x14ac:dyDescent="0.4">
      <c r="A14" s="3" t="s">
        <v>127</v>
      </c>
      <c r="B14" s="3" t="s">
        <v>125</v>
      </c>
      <c r="C14" s="3" t="s">
        <v>116</v>
      </c>
      <c r="D14" s="3">
        <v>3</v>
      </c>
      <c r="E14" s="5">
        <v>2100000</v>
      </c>
      <c r="F14" s="5">
        <v>1200000</v>
      </c>
      <c r="G14" s="5">
        <v>430000</v>
      </c>
      <c r="H14" s="5">
        <v>2870000</v>
      </c>
    </row>
    <row r="15" spans="1:8" x14ac:dyDescent="0.4">
      <c r="A15" s="3" t="s">
        <v>128</v>
      </c>
      <c r="B15" s="3" t="s">
        <v>125</v>
      </c>
      <c r="C15" s="3" t="s">
        <v>118</v>
      </c>
      <c r="D15" s="3">
        <v>1</v>
      </c>
      <c r="E15" s="5">
        <v>1800000</v>
      </c>
      <c r="F15" s="5">
        <v>800000</v>
      </c>
      <c r="G15" s="5">
        <v>340000</v>
      </c>
      <c r="H15" s="5">
        <v>2260000</v>
      </c>
    </row>
    <row r="20" spans="1:4" x14ac:dyDescent="0.4">
      <c r="A20" s="33" t="s">
        <v>264</v>
      </c>
      <c r="B20" s="33" t="s">
        <v>263</v>
      </c>
    </row>
    <row r="21" spans="1:4" x14ac:dyDescent="0.4">
      <c r="A21" s="33" t="s">
        <v>261</v>
      </c>
      <c r="B21" t="s">
        <v>111</v>
      </c>
      <c r="C21" t="s">
        <v>120</v>
      </c>
      <c r="D21" t="s">
        <v>262</v>
      </c>
    </row>
    <row r="22" spans="1:4" x14ac:dyDescent="0.4">
      <c r="A22" s="34" t="s">
        <v>114</v>
      </c>
      <c r="B22" s="35">
        <v>3830000</v>
      </c>
      <c r="C22" s="35">
        <v>3300000</v>
      </c>
      <c r="D22" s="35">
        <v>3565000</v>
      </c>
    </row>
    <row r="23" spans="1:4" x14ac:dyDescent="0.4">
      <c r="A23" s="34" t="s">
        <v>116</v>
      </c>
      <c r="B23" s="35">
        <v>2700000</v>
      </c>
      <c r="C23" s="35">
        <v>2960000</v>
      </c>
      <c r="D23" s="35">
        <v>2830000</v>
      </c>
    </row>
    <row r="24" spans="1:4" x14ac:dyDescent="0.4">
      <c r="A24" s="34" t="s">
        <v>112</v>
      </c>
      <c r="B24" s="35">
        <v>4700000</v>
      </c>
      <c r="C24" s="35">
        <v>4090000</v>
      </c>
      <c r="D24" s="35">
        <v>4395000</v>
      </c>
    </row>
    <row r="25" spans="1:4" x14ac:dyDescent="0.4">
      <c r="A25" s="34" t="s">
        <v>118</v>
      </c>
      <c r="B25" s="35">
        <v>2440000</v>
      </c>
      <c r="C25" s="35">
        <v>2390000</v>
      </c>
      <c r="D25" s="35">
        <v>2415000</v>
      </c>
    </row>
  </sheetData>
  <mergeCells count="1">
    <mergeCell ref="A1:H1"/>
  </mergeCells>
  <phoneticPr fontId="1" type="noConversion"/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E5875-0AC8-479F-83C3-D5BDB5689E23}">
  <sheetPr>
    <outlinePr summaryBelow="0"/>
  </sheetPr>
  <dimension ref="B1:F11"/>
  <sheetViews>
    <sheetView showGridLines="0" workbookViewId="0"/>
  </sheetViews>
  <sheetFormatPr defaultRowHeight="17.399999999999999" outlineLevelRow="1" outlineLevelCol="1" x14ac:dyDescent="0.4"/>
  <cols>
    <col min="3" max="3" width="10.3984375" bestFit="1" customWidth="1"/>
    <col min="4" max="6" width="14.3984375" bestFit="1" customWidth="1" outlineLevel="1"/>
  </cols>
  <sheetData>
    <row r="1" spans="2:6" ht="18" thickBot="1" x14ac:dyDescent="0.45"/>
    <row r="2" spans="2:6" x14ac:dyDescent="0.4">
      <c r="B2" s="40" t="s">
        <v>270</v>
      </c>
      <c r="C2" s="41"/>
      <c r="D2" s="47"/>
      <c r="E2" s="47"/>
      <c r="F2" s="47"/>
    </row>
    <row r="3" spans="2:6" collapsed="1" x14ac:dyDescent="0.4">
      <c r="B3" s="39"/>
      <c r="C3" s="39"/>
      <c r="D3" s="48" t="s">
        <v>272</v>
      </c>
      <c r="E3" s="48" t="s">
        <v>267</v>
      </c>
      <c r="F3" s="48" t="s">
        <v>269</v>
      </c>
    </row>
    <row r="4" spans="2:6" ht="31.2" hidden="1" outlineLevel="1" x14ac:dyDescent="0.4">
      <c r="B4" s="43"/>
      <c r="C4" s="43"/>
      <c r="D4" s="36"/>
      <c r="E4" s="50" t="s">
        <v>268</v>
      </c>
      <c r="F4" s="50" t="s">
        <v>268</v>
      </c>
    </row>
    <row r="5" spans="2:6" x14ac:dyDescent="0.4">
      <c r="B5" s="44" t="s">
        <v>271</v>
      </c>
      <c r="C5" s="45"/>
      <c r="D5" s="42"/>
      <c r="E5" s="42"/>
      <c r="F5" s="42"/>
    </row>
    <row r="6" spans="2:6" outlineLevel="1" x14ac:dyDescent="0.4">
      <c r="B6" s="43"/>
      <c r="C6" s="43" t="s">
        <v>265</v>
      </c>
      <c r="D6" s="37">
        <v>0.3</v>
      </c>
      <c r="E6" s="49">
        <v>0.35</v>
      </c>
      <c r="F6" s="49">
        <v>0.25</v>
      </c>
    </row>
    <row r="7" spans="2:6" x14ac:dyDescent="0.4">
      <c r="B7" s="44" t="s">
        <v>273</v>
      </c>
      <c r="C7" s="45"/>
      <c r="D7" s="42"/>
      <c r="E7" s="42"/>
      <c r="F7" s="42"/>
    </row>
    <row r="8" spans="2:6" ht="18" outlineLevel="1" thickBot="1" x14ac:dyDescent="0.45">
      <c r="B8" s="46"/>
      <c r="C8" s="46" t="s">
        <v>266</v>
      </c>
      <c r="D8" s="38">
        <v>1329036930</v>
      </c>
      <c r="E8" s="38">
        <v>1550543085</v>
      </c>
      <c r="F8" s="38">
        <v>1107530775</v>
      </c>
    </row>
    <row r="9" spans="2:6" x14ac:dyDescent="0.4">
      <c r="B9" t="s">
        <v>274</v>
      </c>
    </row>
    <row r="10" spans="2:6" x14ac:dyDescent="0.4">
      <c r="B10" t="s">
        <v>275</v>
      </c>
    </row>
    <row r="11" spans="2:6" x14ac:dyDescent="0.4">
      <c r="B11" t="s">
        <v>276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7"/>
  <sheetViews>
    <sheetView workbookViewId="0">
      <selection activeCell="G15" sqref="G15"/>
    </sheetView>
  </sheetViews>
  <sheetFormatPr defaultRowHeight="17.399999999999999" x14ac:dyDescent="0.4"/>
  <cols>
    <col min="3" max="5" width="10.8984375" bestFit="1" customWidth="1"/>
    <col min="6" max="7" width="14.59765625" bestFit="1" customWidth="1"/>
  </cols>
  <sheetData>
    <row r="1" spans="1:7" ht="21" x14ac:dyDescent="0.4">
      <c r="A1" s="16" t="s">
        <v>213</v>
      </c>
      <c r="B1" s="16"/>
      <c r="C1" s="16"/>
      <c r="D1" s="16"/>
      <c r="E1" s="16"/>
      <c r="F1" s="16"/>
      <c r="G1" s="16"/>
    </row>
    <row r="3" spans="1:7" x14ac:dyDescent="0.4">
      <c r="A3" s="22" t="s">
        <v>214</v>
      </c>
      <c r="B3" s="22" t="s">
        <v>215</v>
      </c>
      <c r="C3" s="22" t="s">
        <v>216</v>
      </c>
      <c r="D3" s="22"/>
      <c r="E3" s="22"/>
      <c r="F3" s="22" t="s">
        <v>217</v>
      </c>
      <c r="G3" s="22" t="s">
        <v>218</v>
      </c>
    </row>
    <row r="4" spans="1:7" x14ac:dyDescent="0.4">
      <c r="A4" s="22"/>
      <c r="B4" s="22"/>
      <c r="C4" s="3" t="s">
        <v>219</v>
      </c>
      <c r="D4" s="3" t="s">
        <v>220</v>
      </c>
      <c r="E4" s="3" t="s">
        <v>221</v>
      </c>
      <c r="F4" s="22"/>
      <c r="G4" s="22"/>
    </row>
    <row r="5" spans="1:7" x14ac:dyDescent="0.4">
      <c r="A5" s="3" t="s">
        <v>222</v>
      </c>
      <c r="B5" s="5">
        <v>600</v>
      </c>
      <c r="C5" s="5">
        <v>165232</v>
      </c>
      <c r="D5" s="5">
        <v>190017</v>
      </c>
      <c r="E5" s="5">
        <v>183419</v>
      </c>
      <c r="F5" s="5">
        <f>B5*(C5+D5+E5)</f>
        <v>323200800</v>
      </c>
      <c r="G5" s="5">
        <f>F5*$B$17</f>
        <v>96960240</v>
      </c>
    </row>
    <row r="6" spans="1:7" x14ac:dyDescent="0.4">
      <c r="A6" s="3" t="s">
        <v>223</v>
      </c>
      <c r="B6" s="5">
        <v>500</v>
      </c>
      <c r="C6" s="5">
        <v>241773</v>
      </c>
      <c r="D6" s="5">
        <v>278039</v>
      </c>
      <c r="E6" s="5">
        <v>325306</v>
      </c>
      <c r="F6" s="5">
        <f t="shared" ref="F6:F14" si="0">B6*(C6+D6+E6)</f>
        <v>422559000</v>
      </c>
      <c r="G6" s="5">
        <f t="shared" ref="G6:G14" si="1">F6*$B$17</f>
        <v>126767700</v>
      </c>
    </row>
    <row r="7" spans="1:7" x14ac:dyDescent="0.4">
      <c r="A7" s="3" t="s">
        <v>224</v>
      </c>
      <c r="B7" s="5">
        <v>1000</v>
      </c>
      <c r="C7" s="5">
        <v>192741</v>
      </c>
      <c r="D7" s="5">
        <v>183414</v>
      </c>
      <c r="E7" s="5">
        <v>214591</v>
      </c>
      <c r="F7" s="5">
        <f t="shared" si="0"/>
        <v>590746000</v>
      </c>
      <c r="G7" s="5">
        <f t="shared" si="1"/>
        <v>177223800</v>
      </c>
    </row>
    <row r="8" spans="1:7" x14ac:dyDescent="0.4">
      <c r="A8" s="3" t="s">
        <v>225</v>
      </c>
      <c r="B8" s="5">
        <v>500</v>
      </c>
      <c r="C8" s="5">
        <v>295604</v>
      </c>
      <c r="D8" s="5">
        <v>339945</v>
      </c>
      <c r="E8" s="5">
        <v>315213</v>
      </c>
      <c r="F8" s="5">
        <f t="shared" si="0"/>
        <v>475381000</v>
      </c>
      <c r="G8" s="5">
        <f t="shared" si="1"/>
        <v>142614300</v>
      </c>
    </row>
    <row r="9" spans="1:7" x14ac:dyDescent="0.4">
      <c r="A9" s="3" t="s">
        <v>226</v>
      </c>
      <c r="B9" s="5">
        <v>700</v>
      </c>
      <c r="C9" s="5">
        <v>243925</v>
      </c>
      <c r="D9" s="5">
        <v>201453</v>
      </c>
      <c r="E9" s="5">
        <v>235705</v>
      </c>
      <c r="F9" s="5">
        <f t="shared" si="0"/>
        <v>476758100</v>
      </c>
      <c r="G9" s="5">
        <f t="shared" si="1"/>
        <v>143027430</v>
      </c>
    </row>
    <row r="10" spans="1:7" x14ac:dyDescent="0.4">
      <c r="A10" s="3" t="s">
        <v>227</v>
      </c>
      <c r="B10" s="5">
        <v>600</v>
      </c>
      <c r="C10" s="5">
        <v>193849</v>
      </c>
      <c r="D10" s="5">
        <v>188321</v>
      </c>
      <c r="E10" s="5">
        <v>220336</v>
      </c>
      <c r="F10" s="5">
        <f t="shared" si="0"/>
        <v>361503600</v>
      </c>
      <c r="G10" s="5">
        <f t="shared" si="1"/>
        <v>108451080</v>
      </c>
    </row>
    <row r="11" spans="1:7" x14ac:dyDescent="0.4">
      <c r="A11" s="3" t="s">
        <v>228</v>
      </c>
      <c r="B11" s="5">
        <v>500</v>
      </c>
      <c r="C11" s="5">
        <v>324151</v>
      </c>
      <c r="D11" s="5">
        <v>301765</v>
      </c>
      <c r="E11" s="5">
        <v>334131</v>
      </c>
      <c r="F11" s="5">
        <f t="shared" si="0"/>
        <v>480023500</v>
      </c>
      <c r="G11" s="5">
        <f t="shared" si="1"/>
        <v>144007050</v>
      </c>
    </row>
    <row r="12" spans="1:7" x14ac:dyDescent="0.4">
      <c r="A12" s="3" t="s">
        <v>229</v>
      </c>
      <c r="B12" s="5">
        <v>500</v>
      </c>
      <c r="C12" s="5">
        <v>157232</v>
      </c>
      <c r="D12" s="5">
        <v>180817</v>
      </c>
      <c r="E12" s="5">
        <v>211556</v>
      </c>
      <c r="F12" s="5">
        <f t="shared" si="0"/>
        <v>274802500</v>
      </c>
      <c r="G12" s="5">
        <f t="shared" si="1"/>
        <v>82440750</v>
      </c>
    </row>
    <row r="13" spans="1:7" x14ac:dyDescent="0.4">
      <c r="A13" s="3" t="s">
        <v>230</v>
      </c>
      <c r="B13" s="5">
        <v>600</v>
      </c>
      <c r="C13" s="5">
        <v>201476</v>
      </c>
      <c r="D13" s="5">
        <v>231697</v>
      </c>
      <c r="E13" s="5">
        <v>223549</v>
      </c>
      <c r="F13" s="5">
        <f t="shared" si="0"/>
        <v>394033200</v>
      </c>
      <c r="G13" s="5">
        <f t="shared" si="1"/>
        <v>118209960</v>
      </c>
    </row>
    <row r="14" spans="1:7" x14ac:dyDescent="0.4">
      <c r="A14" s="3" t="s">
        <v>231</v>
      </c>
      <c r="B14" s="5">
        <v>600</v>
      </c>
      <c r="C14" s="5">
        <v>322905</v>
      </c>
      <c r="D14" s="5">
        <v>371341</v>
      </c>
      <c r="E14" s="5">
        <v>357613</v>
      </c>
      <c r="F14" s="5">
        <f t="shared" si="0"/>
        <v>631115400</v>
      </c>
      <c r="G14" s="5">
        <f t="shared" si="1"/>
        <v>189334620</v>
      </c>
    </row>
    <row r="15" spans="1:7" x14ac:dyDescent="0.4">
      <c r="A15" s="20" t="s">
        <v>232</v>
      </c>
      <c r="B15" s="21"/>
      <c r="C15" s="4">
        <f>SUM(C5:C14)</f>
        <v>2338888</v>
      </c>
      <c r="D15" s="4">
        <f t="shared" ref="D15:G15" si="2">SUM(D5:D14)</f>
        <v>2466809</v>
      </c>
      <c r="E15" s="4">
        <f t="shared" si="2"/>
        <v>2621419</v>
      </c>
      <c r="F15" s="4">
        <f t="shared" si="2"/>
        <v>4430123100</v>
      </c>
      <c r="G15" s="4">
        <f t="shared" si="2"/>
        <v>1329036930</v>
      </c>
    </row>
    <row r="17" spans="1:2" x14ac:dyDescent="0.4">
      <c r="A17" s="3" t="s">
        <v>233</v>
      </c>
      <c r="B17" s="15">
        <v>0.3</v>
      </c>
    </row>
  </sheetData>
  <scenarios current="0" sqref="G15">
    <scenario name="순이익률인상" locked="1" count="1" user="ylose" comment="만든 사람 ylose 날짜 2023-07-28">
      <inputCells r="B17" val="0.35" numFmtId="9"/>
    </scenario>
    <scenario name="순이익률인하" locked="1" count="1" user="ylose" comment="만든 사람 ylose 날짜 2023-07-28">
      <inputCells r="B17" val="0.25" numFmtId="9"/>
    </scenario>
  </scenarios>
  <mergeCells count="7">
    <mergeCell ref="A15:B15"/>
    <mergeCell ref="A1:G1"/>
    <mergeCell ref="A3:A4"/>
    <mergeCell ref="B3:B4"/>
    <mergeCell ref="C3:E3"/>
    <mergeCell ref="F3:F4"/>
    <mergeCell ref="G3:G4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8"/>
  <sheetViews>
    <sheetView workbookViewId="0">
      <selection activeCell="F15" sqref="F15"/>
    </sheetView>
  </sheetViews>
  <sheetFormatPr defaultRowHeight="17.399999999999999" x14ac:dyDescent="0.4"/>
  <cols>
    <col min="2" max="7" width="6.59765625" customWidth="1"/>
  </cols>
  <sheetData>
    <row r="1" spans="1:8" ht="21" x14ac:dyDescent="0.4">
      <c r="A1" s="16" t="s">
        <v>234</v>
      </c>
      <c r="B1" s="16"/>
      <c r="C1" s="16"/>
      <c r="D1" s="16"/>
      <c r="E1" s="16"/>
      <c r="F1" s="16"/>
      <c r="G1" s="16"/>
      <c r="H1" s="16"/>
    </row>
    <row r="3" spans="1:8" x14ac:dyDescent="0.4">
      <c r="A3" s="3" t="s">
        <v>235</v>
      </c>
      <c r="B3" s="3" t="s">
        <v>236</v>
      </c>
      <c r="C3" s="3" t="s">
        <v>237</v>
      </c>
      <c r="D3" s="3" t="s">
        <v>238</v>
      </c>
      <c r="E3" s="3" t="s">
        <v>239</v>
      </c>
      <c r="F3" s="3" t="s">
        <v>240</v>
      </c>
      <c r="G3" s="3" t="s">
        <v>241</v>
      </c>
      <c r="H3" s="3" t="s">
        <v>242</v>
      </c>
    </row>
    <row r="4" spans="1:8" x14ac:dyDescent="0.4">
      <c r="A4" s="3" t="s">
        <v>243</v>
      </c>
      <c r="B4" s="3">
        <v>51</v>
      </c>
      <c r="C4" s="3">
        <v>37</v>
      </c>
      <c r="D4" s="3">
        <v>33</v>
      </c>
      <c r="E4" s="3">
        <v>35</v>
      </c>
      <c r="F4" s="3">
        <v>38</v>
      </c>
      <c r="G4" s="3">
        <v>46</v>
      </c>
      <c r="H4" s="3">
        <f>SUM(B4:G4)</f>
        <v>240</v>
      </c>
    </row>
    <row r="5" spans="1:8" x14ac:dyDescent="0.4">
      <c r="A5" s="3" t="s">
        <v>244</v>
      </c>
      <c r="B5" s="3">
        <v>48</v>
      </c>
      <c r="C5" s="3">
        <v>38</v>
      </c>
      <c r="D5" s="3">
        <v>40</v>
      </c>
      <c r="E5" s="3">
        <v>35</v>
      </c>
      <c r="F5" s="3">
        <v>36</v>
      </c>
      <c r="G5" s="3">
        <v>34</v>
      </c>
      <c r="H5" s="3">
        <f t="shared" ref="H5:H8" si="0">SUM(B5:G5)</f>
        <v>231</v>
      </c>
    </row>
    <row r="6" spans="1:8" x14ac:dyDescent="0.4">
      <c r="A6" s="3" t="s">
        <v>245</v>
      </c>
      <c r="B6" s="3">
        <v>53</v>
      </c>
      <c r="C6" s="3">
        <v>50</v>
      </c>
      <c r="D6" s="3">
        <v>46</v>
      </c>
      <c r="E6" s="3">
        <v>37</v>
      </c>
      <c r="F6" s="3">
        <v>42</v>
      </c>
      <c r="G6" s="3">
        <v>41</v>
      </c>
      <c r="H6" s="3">
        <f t="shared" si="0"/>
        <v>269</v>
      </c>
    </row>
    <row r="7" spans="1:8" x14ac:dyDescent="0.4">
      <c r="A7" s="3" t="s">
        <v>246</v>
      </c>
      <c r="B7" s="3">
        <v>32</v>
      </c>
      <c r="C7" s="3">
        <v>26</v>
      </c>
      <c r="D7" s="3">
        <v>25</v>
      </c>
      <c r="E7" s="3">
        <v>22</v>
      </c>
      <c r="F7" s="3">
        <v>19</v>
      </c>
      <c r="G7" s="3">
        <v>22</v>
      </c>
      <c r="H7" s="3">
        <f t="shared" si="0"/>
        <v>146</v>
      </c>
    </row>
    <row r="8" spans="1:8" x14ac:dyDescent="0.4">
      <c r="A8" s="3" t="s">
        <v>247</v>
      </c>
      <c r="B8" s="3">
        <v>63</v>
      </c>
      <c r="C8" s="3">
        <v>56</v>
      </c>
      <c r="D8" s="3">
        <v>60</v>
      </c>
      <c r="E8" s="3">
        <v>45</v>
      </c>
      <c r="F8" s="3">
        <v>51</v>
      </c>
      <c r="G8" s="3">
        <v>55</v>
      </c>
      <c r="H8" s="3">
        <f t="shared" si="0"/>
        <v>330</v>
      </c>
    </row>
  </sheetData>
  <mergeCells count="1">
    <mergeCell ref="A1: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9"/>
  <sheetViews>
    <sheetView topLeftCell="A8" workbookViewId="0">
      <selection activeCell="G9" sqref="G9"/>
    </sheetView>
  </sheetViews>
  <sheetFormatPr defaultRowHeight="17.399999999999999" x14ac:dyDescent="0.4"/>
  <cols>
    <col min="2" max="5" width="10.59765625" bestFit="1" customWidth="1"/>
  </cols>
  <sheetData>
    <row r="1" spans="1:5" ht="21" x14ac:dyDescent="0.4">
      <c r="A1" s="16" t="s">
        <v>248</v>
      </c>
      <c r="B1" s="16"/>
      <c r="C1" s="16"/>
      <c r="D1" s="16"/>
      <c r="E1" s="16"/>
    </row>
    <row r="3" spans="1:5" x14ac:dyDescent="0.4">
      <c r="A3" s="3" t="s">
        <v>249</v>
      </c>
      <c r="B3" s="3" t="s">
        <v>250</v>
      </c>
      <c r="C3" s="3" t="s">
        <v>251</v>
      </c>
      <c r="D3" s="3" t="s">
        <v>252</v>
      </c>
      <c r="E3" s="3" t="s">
        <v>253</v>
      </c>
    </row>
    <row r="4" spans="1:5" x14ac:dyDescent="0.4">
      <c r="A4" s="3" t="s">
        <v>254</v>
      </c>
      <c r="B4" s="13">
        <v>2850000</v>
      </c>
      <c r="C4" s="13">
        <v>3756800</v>
      </c>
      <c r="D4" s="13">
        <v>3845780</v>
      </c>
      <c r="E4" s="13">
        <v>3545800</v>
      </c>
    </row>
    <row r="5" spans="1:5" x14ac:dyDescent="0.4">
      <c r="A5" s="3" t="s">
        <v>255</v>
      </c>
      <c r="B5" s="13">
        <v>3654500</v>
      </c>
      <c r="C5" s="13">
        <v>2880570</v>
      </c>
      <c r="D5" s="13">
        <v>4581250</v>
      </c>
      <c r="E5" s="13">
        <v>2812540</v>
      </c>
    </row>
    <row r="6" spans="1:5" x14ac:dyDescent="0.4">
      <c r="A6" s="3" t="s">
        <v>256</v>
      </c>
      <c r="B6" s="13">
        <v>3108400</v>
      </c>
      <c r="C6" s="13">
        <v>3945000</v>
      </c>
      <c r="D6" s="13">
        <v>4215700</v>
      </c>
      <c r="E6" s="13">
        <v>4063100</v>
      </c>
    </row>
    <row r="7" spans="1:5" x14ac:dyDescent="0.4">
      <c r="A7" s="3" t="s">
        <v>257</v>
      </c>
      <c r="B7" s="13">
        <v>3422300</v>
      </c>
      <c r="C7" s="13">
        <v>4508160</v>
      </c>
      <c r="D7" s="13">
        <v>4614936</v>
      </c>
      <c r="E7" s="13">
        <v>4133000</v>
      </c>
    </row>
    <row r="8" spans="1:5" x14ac:dyDescent="0.4">
      <c r="A8" s="3" t="s">
        <v>258</v>
      </c>
      <c r="B8" s="13">
        <v>3289000</v>
      </c>
      <c r="C8" s="13">
        <v>2592500</v>
      </c>
      <c r="D8" s="13">
        <v>4123100</v>
      </c>
      <c r="E8" s="13">
        <v>3531200</v>
      </c>
    </row>
    <row r="9" spans="1:5" x14ac:dyDescent="0.4">
      <c r="A9" s="3" t="s">
        <v>259</v>
      </c>
      <c r="B9" s="13">
        <v>3488400</v>
      </c>
      <c r="C9" s="13">
        <v>4598300</v>
      </c>
      <c r="D9" s="13">
        <v>4307200</v>
      </c>
      <c r="E9" s="13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순이익률</vt:lpstr>
      <vt:lpstr>순이익합계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ylose</cp:lastModifiedBy>
  <dcterms:created xsi:type="dcterms:W3CDTF">2019-03-21T06:11:33Z</dcterms:created>
  <dcterms:modified xsi:type="dcterms:W3CDTF">2023-07-28T11:40:43Z</dcterms:modified>
</cp:coreProperties>
</file>