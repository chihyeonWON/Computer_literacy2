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수업\온라인수업\컴활2급\까치\2023년 컴활2급_상시03\"/>
    </mc:Choice>
  </mc:AlternateContent>
  <bookViews>
    <workbookView xWindow="360" yWindow="30" windowWidth="23715" windowHeight="12105"/>
  </bookViews>
  <sheets>
    <sheet name="기본작업-1" sheetId="9" r:id="rId1"/>
    <sheet name="기본작업-2" sheetId="10" r:id="rId2"/>
    <sheet name="기본작업-3" sheetId="11" r:id="rId3"/>
    <sheet name="계산작업" sheetId="13" r:id="rId4"/>
    <sheet name="분석작업-1" sheetId="12" r:id="rId5"/>
    <sheet name="분석작업-2" sheetId="14" r:id="rId6"/>
    <sheet name="매크로작업" sheetId="15" r:id="rId7"/>
    <sheet name="차트작업" sheetId="16" r:id="rId8"/>
  </sheets>
  <calcPr calcId="162913"/>
</workbook>
</file>

<file path=xl/calcChain.xml><?xml version="1.0" encoding="utf-8"?>
<calcChain xmlns="http://schemas.openxmlformats.org/spreadsheetml/2006/main">
  <c r="E15" i="14" l="1"/>
  <c r="D15" i="14"/>
  <c r="C15" i="14"/>
  <c r="F14" i="14"/>
  <c r="G14" i="14" s="1"/>
  <c r="G13" i="14"/>
  <c r="F13" i="14"/>
  <c r="F12" i="14"/>
  <c r="G12" i="14" s="1"/>
  <c r="F11" i="14"/>
  <c r="G11" i="14" s="1"/>
  <c r="F10" i="14"/>
  <c r="G10" i="14" s="1"/>
  <c r="G9" i="14"/>
  <c r="F9" i="14"/>
  <c r="F8" i="14"/>
  <c r="G8" i="14" s="1"/>
  <c r="F7" i="14"/>
  <c r="G7" i="14" s="1"/>
  <c r="F6" i="14"/>
  <c r="G6" i="14" s="1"/>
  <c r="G5" i="14"/>
  <c r="F5" i="14"/>
  <c r="F15" i="14" s="1"/>
  <c r="G15" i="14" l="1"/>
  <c r="D35" i="13" l="1"/>
  <c r="D34" i="13"/>
  <c r="D33" i="13"/>
  <c r="D32" i="13"/>
  <c r="D31" i="13"/>
  <c r="D30" i="13"/>
  <c r="D29" i="13"/>
  <c r="D28" i="13"/>
  <c r="D27" i="13"/>
  <c r="D26" i="13"/>
  <c r="D19" i="13"/>
  <c r="D18" i="13"/>
  <c r="D17" i="13"/>
  <c r="D16" i="13"/>
  <c r="D15" i="13"/>
  <c r="D14" i="13"/>
  <c r="D13" i="13"/>
  <c r="D12" i="13"/>
  <c r="H18" i="11" l="1"/>
  <c r="H17" i="11"/>
  <c r="H16" i="11"/>
  <c r="H15" i="11"/>
  <c r="H14" i="11"/>
  <c r="H13" i="11"/>
  <c r="H12" i="11"/>
  <c r="H11" i="11"/>
  <c r="H10" i="11"/>
  <c r="H9" i="11"/>
  <c r="H8" i="11"/>
  <c r="H7" i="11"/>
  <c r="H6" i="11"/>
  <c r="H5" i="11"/>
  <c r="H4" i="11"/>
</calcChain>
</file>

<file path=xl/sharedStrings.xml><?xml version="1.0" encoding="utf-8"?>
<sst xmlns="http://schemas.openxmlformats.org/spreadsheetml/2006/main" count="317" uniqueCount="261">
  <si>
    <t>상공홈쇼핑 3월 판매현황</t>
  </si>
  <si>
    <t>구분</t>
  </si>
  <si>
    <t>상공대학교 수강 현황</t>
    <phoneticPr fontId="1" type="noConversion"/>
  </si>
  <si>
    <t>수강코드</t>
    <phoneticPr fontId="1" type="noConversion"/>
  </si>
  <si>
    <t>과목명</t>
    <phoneticPr fontId="1" type="noConversion"/>
  </si>
  <si>
    <t>구분</t>
    <phoneticPr fontId="1" type="noConversion"/>
  </si>
  <si>
    <t>수강인원</t>
    <phoneticPr fontId="1" type="noConversion"/>
  </si>
  <si>
    <t>담당교수</t>
    <phoneticPr fontId="1" type="noConversion"/>
  </si>
  <si>
    <t>수강요일</t>
    <phoneticPr fontId="1" type="noConversion"/>
  </si>
  <si>
    <t>EL-5424</t>
    <phoneticPr fontId="1" type="noConversion"/>
  </si>
  <si>
    <t>생명과환경</t>
    <phoneticPr fontId="1" type="noConversion"/>
  </si>
  <si>
    <t>전공</t>
    <phoneticPr fontId="1" type="noConversion"/>
  </si>
  <si>
    <t>김상욱</t>
    <phoneticPr fontId="1" type="noConversion"/>
  </si>
  <si>
    <t>월</t>
    <phoneticPr fontId="1" type="noConversion"/>
  </si>
  <si>
    <t>IT-3290</t>
    <phoneticPr fontId="1" type="noConversion"/>
  </si>
  <si>
    <t>E-비즈니스개론</t>
    <phoneticPr fontId="1" type="noConversion"/>
  </si>
  <si>
    <t>신의수</t>
    <phoneticPr fontId="1" type="noConversion"/>
  </si>
  <si>
    <t>월</t>
    <phoneticPr fontId="1" type="noConversion"/>
  </si>
  <si>
    <t>SW-6553</t>
    <phoneticPr fontId="1" type="noConversion"/>
  </si>
  <si>
    <t>국제경영</t>
    <phoneticPr fontId="1" type="noConversion"/>
  </si>
  <si>
    <t>이진숙</t>
    <phoneticPr fontId="1" type="noConversion"/>
  </si>
  <si>
    <t>수</t>
    <phoneticPr fontId="1" type="noConversion"/>
  </si>
  <si>
    <t>NC-0387</t>
    <phoneticPr fontId="1" type="noConversion"/>
  </si>
  <si>
    <t>경제학개론</t>
    <phoneticPr fontId="1" type="noConversion"/>
  </si>
  <si>
    <t>이윤열</t>
    <phoneticPr fontId="1" type="noConversion"/>
  </si>
  <si>
    <t>목</t>
    <phoneticPr fontId="1" type="noConversion"/>
  </si>
  <si>
    <t>KH-6712</t>
    <phoneticPr fontId="1" type="noConversion"/>
  </si>
  <si>
    <t>영상디자인</t>
    <phoneticPr fontId="1" type="noConversion"/>
  </si>
  <si>
    <t>한우석</t>
    <phoneticPr fontId="1" type="noConversion"/>
  </si>
  <si>
    <t>목</t>
    <phoneticPr fontId="1" type="noConversion"/>
  </si>
  <si>
    <t>CA-9865</t>
    <phoneticPr fontId="1" type="noConversion"/>
  </si>
  <si>
    <t>노사관계론</t>
    <phoneticPr fontId="1" type="noConversion"/>
  </si>
  <si>
    <t>교양</t>
    <phoneticPr fontId="1" type="noConversion"/>
  </si>
  <si>
    <t>고양희</t>
    <phoneticPr fontId="1" type="noConversion"/>
  </si>
  <si>
    <t>화</t>
    <phoneticPr fontId="1" type="noConversion"/>
  </si>
  <si>
    <t>NB-6213</t>
    <phoneticPr fontId="1" type="noConversion"/>
  </si>
  <si>
    <t>부동산마케팅</t>
    <phoneticPr fontId="1" type="noConversion"/>
  </si>
  <si>
    <t>김수연</t>
    <phoneticPr fontId="1" type="noConversion"/>
  </si>
  <si>
    <t>TE-2398</t>
    <phoneticPr fontId="1" type="noConversion"/>
  </si>
  <si>
    <t>프로그래밍언어</t>
    <phoneticPr fontId="1" type="noConversion"/>
  </si>
  <si>
    <t>윤정석</t>
    <phoneticPr fontId="1" type="noConversion"/>
  </si>
  <si>
    <t>OF-3416</t>
    <phoneticPr fontId="1" type="noConversion"/>
  </si>
  <si>
    <t>패션과현대사</t>
    <phoneticPr fontId="1" type="noConversion"/>
  </si>
  <si>
    <t>최윤주</t>
    <phoneticPr fontId="1" type="noConversion"/>
  </si>
  <si>
    <t>금</t>
    <phoneticPr fontId="1" type="noConversion"/>
  </si>
  <si>
    <t>AN-4189</t>
    <phoneticPr fontId="1" type="noConversion"/>
  </si>
  <si>
    <t>소프트웨어설계</t>
    <phoneticPr fontId="1" type="noConversion"/>
  </si>
  <si>
    <t>김선일</t>
    <phoneticPr fontId="1" type="noConversion"/>
  </si>
  <si>
    <t>1/4분기 지역특산물 판매현황</t>
  </si>
  <si>
    <t>특산물명</t>
  </si>
  <si>
    <t>지역</t>
  </si>
  <si>
    <t>단위</t>
  </si>
  <si>
    <t>1월판매량</t>
  </si>
  <si>
    <t>2월판매량</t>
  </si>
  <si>
    <t>3월판매량</t>
  </si>
  <si>
    <t>총판매량</t>
    <phoneticPr fontId="1" type="noConversion"/>
  </si>
  <si>
    <t>풀먹인토종닭</t>
  </si>
  <si>
    <t>전남 강진</t>
  </si>
  <si>
    <t>축산물</t>
  </si>
  <si>
    <t>800g</t>
  </si>
  <si>
    <t>튼튼한쌀</t>
  </si>
  <si>
    <t>경기 이천</t>
  </si>
  <si>
    <t>농산물</t>
  </si>
  <si>
    <t>10kg</t>
  </si>
  <si>
    <t>깨끗한매생이</t>
  </si>
  <si>
    <t>전남 완도</t>
  </si>
  <si>
    <t>수산물</t>
  </si>
  <si>
    <t>350g</t>
  </si>
  <si>
    <t>싱싱오징어</t>
  </si>
  <si>
    <t>강원 동해</t>
  </si>
  <si>
    <t>3마리</t>
  </si>
  <si>
    <t>꿀맛참외</t>
  </si>
  <si>
    <t>경북 성주</t>
  </si>
  <si>
    <t>2kg</t>
  </si>
  <si>
    <t>명품한돈구이</t>
  </si>
  <si>
    <t>경기 안성</t>
  </si>
  <si>
    <t>1.5kg</t>
  </si>
  <si>
    <t>싱싱블루베리</t>
  </si>
  <si>
    <t>전남 고흥</t>
  </si>
  <si>
    <t>1kg</t>
  </si>
  <si>
    <t>생물홍게</t>
  </si>
  <si>
    <t>경북 포항</t>
  </si>
  <si>
    <t>4마리</t>
  </si>
  <si>
    <t>반건조박대</t>
  </si>
  <si>
    <t>전북 군산</t>
  </si>
  <si>
    <t>5마리</t>
  </si>
  <si>
    <t>한우의품격</t>
  </si>
  <si>
    <t>전남 장흥</t>
  </si>
  <si>
    <t>500g</t>
  </si>
  <si>
    <t>향기좋은더덕</t>
  </si>
  <si>
    <t>강원 횡성</t>
  </si>
  <si>
    <t>칼집낸왕밤</t>
  </si>
  <si>
    <t>충남 공주</t>
  </si>
  <si>
    <t>한방통오리</t>
  </si>
  <si>
    <t>전남 나주</t>
  </si>
  <si>
    <t>1마리</t>
  </si>
  <si>
    <t>유기농쌈채소</t>
  </si>
  <si>
    <t>충북 충주</t>
  </si>
  <si>
    <t>600g</t>
  </si>
  <si>
    <t>왕밤고구마</t>
  </si>
  <si>
    <t>전남 해남</t>
  </si>
  <si>
    <t>5kg</t>
  </si>
  <si>
    <t>사원 급여명세서</t>
  </si>
  <si>
    <t>사원명</t>
  </si>
  <si>
    <t>부서명</t>
  </si>
  <si>
    <t>직위</t>
  </si>
  <si>
    <t>호봉</t>
  </si>
  <si>
    <t>기본급</t>
  </si>
  <si>
    <t>수당</t>
  </si>
  <si>
    <t>세금</t>
  </si>
  <si>
    <t>실수령액</t>
  </si>
  <si>
    <t>양예슬</t>
  </si>
  <si>
    <t>생산부</t>
  </si>
  <si>
    <t>부장</t>
  </si>
  <si>
    <t>남대인</t>
  </si>
  <si>
    <t>과장</t>
  </si>
  <si>
    <t>전상희</t>
  </si>
  <si>
    <t>대리</t>
  </si>
  <si>
    <t>배종재</t>
  </si>
  <si>
    <t>사원</t>
  </si>
  <si>
    <t>주하정</t>
  </si>
  <si>
    <t>영업부</t>
  </si>
  <si>
    <t>오송연</t>
  </si>
  <si>
    <t>서송빈</t>
  </si>
  <si>
    <t>고인숙</t>
  </si>
  <si>
    <t>김주성</t>
  </si>
  <si>
    <t>홍보부</t>
  </si>
  <si>
    <t>한은주</t>
  </si>
  <si>
    <t>이장원</t>
  </si>
  <si>
    <t>김선길</t>
  </si>
  <si>
    <t>[표1]</t>
    <phoneticPr fontId="1" type="noConversion"/>
  </si>
  <si>
    <t>국가별 환율</t>
    <phoneticPr fontId="1" type="noConversion"/>
  </si>
  <si>
    <t>[표2]</t>
    <phoneticPr fontId="1" type="noConversion"/>
  </si>
  <si>
    <t>자동차 주행 기록</t>
    <phoneticPr fontId="1" type="noConversion"/>
  </si>
  <si>
    <t>통화명</t>
    <phoneticPr fontId="1" type="noConversion"/>
  </si>
  <si>
    <t>환율</t>
    <phoneticPr fontId="1" type="noConversion"/>
  </si>
  <si>
    <t>소속</t>
    <phoneticPr fontId="1" type="noConversion"/>
  </si>
  <si>
    <t>선수명</t>
    <phoneticPr fontId="1" type="noConversion"/>
  </si>
  <si>
    <t>출발시간</t>
    <phoneticPr fontId="1" type="noConversion"/>
  </si>
  <si>
    <t>도착시간</t>
    <phoneticPr fontId="1" type="noConversion"/>
  </si>
  <si>
    <t>주행기록</t>
    <phoneticPr fontId="1" type="noConversion"/>
  </si>
  <si>
    <t>USD</t>
    <phoneticPr fontId="1" type="noConversion"/>
  </si>
  <si>
    <t>카마스터</t>
    <phoneticPr fontId="1" type="noConversion"/>
  </si>
  <si>
    <t>유한열</t>
    <phoneticPr fontId="1" type="noConversion"/>
  </si>
  <si>
    <t>AUD</t>
    <phoneticPr fontId="1" type="noConversion"/>
  </si>
  <si>
    <t>튼튼자동차</t>
    <phoneticPr fontId="1" type="noConversion"/>
  </si>
  <si>
    <t>강현준</t>
    <phoneticPr fontId="1" type="noConversion"/>
  </si>
  <si>
    <t>GBP</t>
    <phoneticPr fontId="1" type="noConversion"/>
  </si>
  <si>
    <t>붕붕모터스</t>
    <phoneticPr fontId="1" type="noConversion"/>
  </si>
  <si>
    <t>이규창</t>
    <phoneticPr fontId="1" type="noConversion"/>
  </si>
  <si>
    <t>JPY</t>
    <phoneticPr fontId="1" type="noConversion"/>
  </si>
  <si>
    <t>환율</t>
    <phoneticPr fontId="1" type="noConversion"/>
  </si>
  <si>
    <t>오토마스터</t>
    <phoneticPr fontId="1" type="noConversion"/>
  </si>
  <si>
    <t>김민수</t>
    <phoneticPr fontId="1" type="noConversion"/>
  </si>
  <si>
    <t>CNY</t>
    <phoneticPr fontId="1" type="noConversion"/>
  </si>
  <si>
    <t>AUD</t>
    <phoneticPr fontId="1" type="noConversion"/>
  </si>
  <si>
    <t>유명자동차</t>
    <phoneticPr fontId="1" type="noConversion"/>
  </si>
  <si>
    <t>신선부</t>
    <phoneticPr fontId="1" type="noConversion"/>
  </si>
  <si>
    <t>성공자동차</t>
    <phoneticPr fontId="1" type="noConversion"/>
  </si>
  <si>
    <t>조영수</t>
    <phoneticPr fontId="1" type="noConversion"/>
  </si>
  <si>
    <t>턴스피드</t>
    <phoneticPr fontId="1" type="noConversion"/>
  </si>
  <si>
    <t>한용욱</t>
    <phoneticPr fontId="1" type="noConversion"/>
  </si>
  <si>
    <t>[표3]</t>
    <phoneticPr fontId="1" type="noConversion"/>
  </si>
  <si>
    <t>사원 판매 현황</t>
    <phoneticPr fontId="1" type="noConversion"/>
  </si>
  <si>
    <t>사원명</t>
    <phoneticPr fontId="1" type="noConversion"/>
  </si>
  <si>
    <t>지점</t>
    <phoneticPr fontId="1" type="noConversion"/>
  </si>
  <si>
    <t>수량</t>
    <phoneticPr fontId="1" type="noConversion"/>
  </si>
  <si>
    <t>판매금액</t>
    <phoneticPr fontId="1" type="noConversion"/>
  </si>
  <si>
    <t>[표4]</t>
    <phoneticPr fontId="1" type="noConversion"/>
  </si>
  <si>
    <t>사원별 판매실적현황</t>
  </si>
  <si>
    <t>이세훈</t>
    <phoneticPr fontId="1" type="noConversion"/>
  </si>
  <si>
    <t>북부</t>
    <phoneticPr fontId="1" type="noConversion"/>
  </si>
  <si>
    <t>직급</t>
  </si>
  <si>
    <t>판매실적</t>
  </si>
  <si>
    <t>한범준</t>
    <phoneticPr fontId="1" type="noConversion"/>
  </si>
  <si>
    <t>남부</t>
    <phoneticPr fontId="1" type="noConversion"/>
  </si>
  <si>
    <t>영업1부</t>
  </si>
  <si>
    <t>김상욱</t>
  </si>
  <si>
    <t>신솔지</t>
    <phoneticPr fontId="1" type="noConversion"/>
  </si>
  <si>
    <t>영업2부</t>
  </si>
  <si>
    <t>황진주</t>
  </si>
  <si>
    <t>권지애</t>
  </si>
  <si>
    <t>남부</t>
    <phoneticPr fontId="1" type="noConversion"/>
  </si>
  <si>
    <t>영업3부</t>
  </si>
  <si>
    <t>김민서</t>
  </si>
  <si>
    <t>오세민</t>
  </si>
  <si>
    <t>이상희</t>
  </si>
  <si>
    <t>조현우</t>
    <phoneticPr fontId="1" type="noConversion"/>
  </si>
  <si>
    <t>심영훈</t>
  </si>
  <si>
    <t>이명복</t>
    <phoneticPr fontId="1" type="noConversion"/>
  </si>
  <si>
    <t>최대건</t>
  </si>
  <si>
    <t>권지향</t>
    <phoneticPr fontId="1" type="noConversion"/>
  </si>
  <si>
    <t>윤정희</t>
  </si>
  <si>
    <t>김민성</t>
  </si>
  <si>
    <t>평균판매금액</t>
    <phoneticPr fontId="1" type="noConversion"/>
  </si>
  <si>
    <t>노유영</t>
  </si>
  <si>
    <t>판매실적이 가장 높은 사원</t>
  </si>
  <si>
    <t>[표5]</t>
    <phoneticPr fontId="1" type="noConversion"/>
  </si>
  <si>
    <t>컴활2급필기 시험결과</t>
  </si>
  <si>
    <t>수험번호</t>
  </si>
  <si>
    <t>1과목</t>
  </si>
  <si>
    <t>2과목</t>
  </si>
  <si>
    <t>총점</t>
  </si>
  <si>
    <t>합격여부</t>
  </si>
  <si>
    <t>M2301</t>
    <phoneticPr fontId="1" type="noConversion"/>
  </si>
  <si>
    <t>M2302</t>
  </si>
  <si>
    <t>M2303</t>
  </si>
  <si>
    <t>M2304</t>
  </si>
  <si>
    <t>M2305</t>
  </si>
  <si>
    <t>M2306</t>
  </si>
  <si>
    <t>M2307</t>
  </si>
  <si>
    <t>M2308</t>
  </si>
  <si>
    <t>M2309</t>
  </si>
  <si>
    <t>M2310</t>
  </si>
  <si>
    <t>아이스크림 판매실적</t>
    <phoneticPr fontId="1" type="noConversion"/>
  </si>
  <si>
    <t>제품명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</si>
  <si>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</si>
  <si>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</si>
  <si>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</si>
  <si>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순이익</t>
    <phoneticPr fontId="1" type="noConversion"/>
  </si>
  <si>
    <t>7월</t>
    <phoneticPr fontId="1" type="noConversion"/>
  </si>
  <si>
    <t>8월</t>
  </si>
  <si>
    <t>9월</t>
  </si>
  <si>
    <t>죠스바</t>
    <phoneticPr fontId="1" type="noConversion"/>
  </si>
  <si>
    <t>누가봐</t>
    <phoneticPr fontId="1" type="noConversion"/>
  </si>
  <si>
    <t>월드콘</t>
    <phoneticPr fontId="1" type="noConversion"/>
  </si>
  <si>
    <t>스크류바</t>
    <phoneticPr fontId="1" type="noConversion"/>
  </si>
  <si>
    <t>빠삐코</t>
    <phoneticPr fontId="1" type="noConversion"/>
  </si>
  <si>
    <t>옥동자</t>
    <phoneticPr fontId="1" type="noConversion"/>
  </si>
  <si>
    <t>돼지바</t>
    <phoneticPr fontId="1" type="noConversion"/>
  </si>
  <si>
    <t>바밤바</t>
    <phoneticPr fontId="1" type="noConversion"/>
  </si>
  <si>
    <t>캔디바</t>
    <phoneticPr fontId="1" type="noConversion"/>
  </si>
  <si>
    <t>메로나</t>
    <phoneticPr fontId="1" type="noConversion"/>
  </si>
  <si>
    <t>합계</t>
    <phoneticPr fontId="1" type="noConversion"/>
  </si>
  <si>
    <t>순이익률</t>
    <phoneticPr fontId="1" type="noConversion"/>
  </si>
  <si>
    <t>스포츠센터 회원등록 현황</t>
    <phoneticPr fontId="1" type="noConversion"/>
  </si>
  <si>
    <t>구분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</si>
  <si>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</si>
  <si>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</si>
  <si>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</si>
  <si>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</si>
  <si>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</si>
  <si>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</si>
  <si>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합계</t>
    <phoneticPr fontId="1" type="noConversion"/>
  </si>
  <si>
    <t>헬스</t>
    <phoneticPr fontId="1" type="noConversion"/>
  </si>
  <si>
    <t>필라테스</t>
    <phoneticPr fontId="1" type="noConversion"/>
  </si>
  <si>
    <t>요가</t>
    <phoneticPr fontId="1" type="noConversion"/>
  </si>
  <si>
    <t>골프</t>
    <phoneticPr fontId="1" type="noConversion"/>
  </si>
  <si>
    <t>수영</t>
    <phoneticPr fontId="1" type="noConversion"/>
  </si>
  <si>
    <t>은행별 예금현황</t>
    <phoneticPr fontId="1" type="noConversion"/>
  </si>
  <si>
    <t>은행</t>
    <phoneticPr fontId="1" type="noConversion"/>
  </si>
  <si>
    <t>보통예금</t>
    <phoneticPr fontId="1" type="noConversion"/>
  </si>
  <si>
    <t>정기예금</t>
    <phoneticPr fontId="1" type="noConversion"/>
  </si>
  <si>
    <t>주택예금</t>
    <phoneticPr fontId="1" type="noConversion"/>
  </si>
  <si>
    <t>기타수신</t>
    <phoneticPr fontId="1" type="noConversion"/>
  </si>
  <si>
    <t>상공은행</t>
    <phoneticPr fontId="1" type="noConversion"/>
  </si>
  <si>
    <t>한신은행</t>
    <phoneticPr fontId="1" type="noConversion"/>
  </si>
  <si>
    <t>유성은행</t>
    <phoneticPr fontId="1" type="noConversion"/>
  </si>
  <si>
    <t>대한은행</t>
    <phoneticPr fontId="1" type="noConversion"/>
  </si>
  <si>
    <t>튼튼은행</t>
    <phoneticPr fontId="1" type="noConversion"/>
  </si>
  <si>
    <t>믿음은행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</si>
</sst>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#,##0.00_ "/>
    <numFmt numFmtId="177" formatCode="h:mm:ss;@"/>
    <numFmt numFmtId="178" formatCode="#,##0_ 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6" fillId="0" borderId="0" xfId="0" applyFont="1">
      <alignment vertical="center"/>
    </xf>
    <xf numFmtId="178" fontId="0" fillId="0" borderId="1" xfId="1" applyNumberFormat="1" applyFont="1" applyBorder="1" applyAlignment="1">
      <alignment horizontal="right" vertical="center"/>
    </xf>
    <xf numFmtId="0" fontId="0" fillId="0" borderId="1" xfId="1" applyNumberFormat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보통</a:t>
            </a:r>
            <a:r>
              <a:rPr lang="en-US" altLang="ko-KR"/>
              <a:t>/</a:t>
            </a:r>
            <a:r>
              <a:rPr lang="ko-KR" altLang="en-US"/>
              <a:t>주택예금현황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보통예금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2850000</c:v>
                </c:pt>
                <c:pt idx="1">
                  <c:v>3654500</c:v>
                </c:pt>
                <c:pt idx="2">
                  <c:v>3108400</c:v>
                </c:pt>
                <c:pt idx="3">
                  <c:v>3422300</c:v>
                </c:pt>
                <c:pt idx="4">
                  <c:v>3289000</c:v>
                </c:pt>
                <c:pt idx="5">
                  <c:v>3488400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01-4C4D-8D09-FF382E7767DA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정기예금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3756800</c:v>
                </c:pt>
                <c:pt idx="1">
                  <c:v>2880570</c:v>
                </c:pt>
                <c:pt idx="2">
                  <c:v>3945000</c:v>
                </c:pt>
                <c:pt idx="3">
                  <c:v>4508160</c:v>
                </c:pt>
                <c:pt idx="4">
                  <c:v>2592500</c:v>
                </c:pt>
                <c:pt idx="5">
                  <c:v>4598300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01-4C4D-8D09-FF382E7767DA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주택예금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3845780</c:v>
                </c:pt>
                <c:pt idx="1">
                  <c:v>4581250</c:v>
                </c:pt>
                <c:pt idx="2">
                  <c:v>4215700</c:v>
                </c:pt>
                <c:pt idx="3">
                  <c:v>4614936</c:v>
                </c:pt>
                <c:pt idx="4">
                  <c:v>4123100</c:v>
                </c:pt>
                <c:pt idx="5">
                  <c:v>4307200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01-4C4D-8D09-FF382E7767DA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기타수신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차트작업!$E$4:$E$9</c:f>
              <c:numCache>
                <c:formatCode>#,##0_ </c:formatCode>
                <c:ptCount val="6"/>
                <c:pt idx="0">
                  <c:v>3545800</c:v>
                </c:pt>
                <c:pt idx="1">
                  <c:v>2812540</c:v>
                </c:pt>
                <c:pt idx="2">
                  <c:v>4063100</c:v>
                </c:pt>
                <c:pt idx="3">
                  <c:v>4133000</c:v>
                </c:pt>
                <c:pt idx="4">
                  <c:v>3531200</c:v>
                </c:pt>
                <c:pt idx="5">
                  <c:v>3707200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01-4C4D-8D09-FF382E776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7628751"/>
        <c:axId val="777283983"/>
      </c:barChart>
      <c:catAx>
        <c:axId val="697628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7283983"/>
        <c:crosses val="autoZero"/>
        <c:auto val="1"/>
        <c:lblAlgn val="ctr"/>
        <c:lblOffset val="100"/>
        <c:noMultiLvlLbl val="0"/>
      </c:catAx>
      <c:valAx>
        <c:axId val="77728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7628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209550</xdr:colOff>
      <xdr:row>0</xdr:row>
      <xdr:rowOff>0</xdr:rowOff>
    </xdr:from>
    <xdr:to>
      <xdr:col>15</xdr:col>
      <xdr:colOff>266007</xdr:colOff>
      <xdr:row>12</xdr:row>
      <xdr:rowOff>9209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62550" y="0"/>
          <a:ext cx="5542857" cy="25238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0</xdr:row>
      <xdr:rowOff>85725</xdr:rowOff>
    </xdr:from>
    <xdr:to>
      <xdr:col>19</xdr:col>
      <xdr:colOff>646611</xdr:colOff>
      <xdr:row>12</xdr:row>
      <xdr:rowOff>66363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19725" y="85725"/>
          <a:ext cx="8714286" cy="24952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0</xdr:row>
      <xdr:rowOff>104775</xdr:rowOff>
    </xdr:from>
    <xdr:to>
      <xdr:col>21</xdr:col>
      <xdr:colOff>560886</xdr:colOff>
      <xdr:row>7</xdr:row>
      <xdr:rowOff>66490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29425" y="104775"/>
          <a:ext cx="8714286" cy="1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85725</xdr:rowOff>
    </xdr:from>
    <xdr:to>
      <xdr:col>23</xdr:col>
      <xdr:colOff>598986</xdr:colOff>
      <xdr:row>28</xdr:row>
      <xdr:rowOff>123480</xdr:rowOff>
    </xdr:to>
    <xdr:grpSp>
      <xdr:nvGrpSpPr>
        <xdr:cNvPr id="4" name="그룹 3"/>
        <xdr:cNvGrpSpPr/>
      </xdr:nvGrpSpPr>
      <xdr:grpSpPr>
        <a:xfrm>
          <a:off x="7962900" y="85725"/>
          <a:ext cx="8771436" cy="5905155"/>
          <a:chOff x="7962900" y="85725"/>
          <a:chExt cx="8771436" cy="5905155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020050" y="85725"/>
            <a:ext cx="8714286" cy="3390476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962900" y="3228975"/>
            <a:ext cx="8752381" cy="2761905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0</xdr:row>
      <xdr:rowOff>104775</xdr:rowOff>
    </xdr:from>
    <xdr:to>
      <xdr:col>21</xdr:col>
      <xdr:colOff>532314</xdr:colOff>
      <xdr:row>10</xdr:row>
      <xdr:rowOff>209269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0" y="104775"/>
          <a:ext cx="8685714" cy="22476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142875</xdr:colOff>
      <xdr:row>0</xdr:row>
      <xdr:rowOff>133350</xdr:rowOff>
    </xdr:from>
    <xdr:to>
      <xdr:col>20</xdr:col>
      <xdr:colOff>684703</xdr:colOff>
      <xdr:row>10</xdr:row>
      <xdr:rowOff>190225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133350"/>
          <a:ext cx="8771428" cy="2200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95250</xdr:colOff>
      <xdr:row>0</xdr:row>
      <xdr:rowOff>152400</xdr:rowOff>
    </xdr:from>
    <xdr:to>
      <xdr:col>21</xdr:col>
      <xdr:colOff>589459</xdr:colOff>
      <xdr:row>16</xdr:row>
      <xdr:rowOff>56737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1600" y="152400"/>
          <a:ext cx="8723809" cy="330476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133350</xdr:colOff>
      <xdr:row>0</xdr:row>
      <xdr:rowOff>66675</xdr:rowOff>
    </xdr:from>
    <xdr:to>
      <xdr:col>19</xdr:col>
      <xdr:colOff>456217</xdr:colOff>
      <xdr:row>22</xdr:row>
      <xdr:rowOff>85140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15050" y="66675"/>
          <a:ext cx="7866667" cy="46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tabSelected="1" workbookViewId="0">
      <selection activeCell="M15" sqref="M15"/>
    </sheetView>
  </sheetViews>
  <sheetFormatPr defaultRowHeight="16.5" x14ac:dyDescent="0.3"/>
  <cols>
    <col min="3" max="3" width="11" bestFit="1" customWidth="1"/>
  </cols>
  <sheetData>
    <row r="1" spans="1:6" x14ac:dyDescent="0.3">
      <c r="A1" t="s">
        <v>0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2"/>
      <c r="F4" s="2"/>
    </row>
    <row r="5" spans="1:6" x14ac:dyDescent="0.3">
      <c r="A5" s="1"/>
      <c r="B5" s="1"/>
      <c r="C5" s="1"/>
      <c r="D5" s="1"/>
      <c r="E5" s="2"/>
      <c r="F5" s="2"/>
    </row>
    <row r="6" spans="1:6" x14ac:dyDescent="0.3">
      <c r="A6" s="1"/>
      <c r="B6" s="1"/>
      <c r="C6" s="1"/>
      <c r="D6" s="1"/>
      <c r="E6" s="2"/>
      <c r="F6" s="2"/>
    </row>
    <row r="7" spans="1:6" x14ac:dyDescent="0.3">
      <c r="A7" s="1"/>
      <c r="B7" s="1"/>
      <c r="C7" s="1"/>
      <c r="D7" s="1"/>
      <c r="E7" s="2"/>
      <c r="F7" s="2"/>
    </row>
    <row r="8" spans="1:6" x14ac:dyDescent="0.3">
      <c r="A8" s="1"/>
      <c r="B8" s="1"/>
      <c r="C8" s="1"/>
      <c r="D8" s="1"/>
      <c r="E8" s="2"/>
      <c r="F8" s="2"/>
    </row>
    <row r="9" spans="1:6" x14ac:dyDescent="0.3">
      <c r="A9" s="1"/>
      <c r="B9" s="1"/>
      <c r="C9" s="1"/>
      <c r="D9" s="1"/>
      <c r="E9" s="2"/>
      <c r="F9" s="2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workbookViewId="0">
      <selection activeCell="L17" sqref="L17"/>
    </sheetView>
  </sheetViews>
  <sheetFormatPr defaultRowHeight="16.5" x14ac:dyDescent="0.3"/>
  <cols>
    <col min="2" max="2" width="15" bestFit="1" customWidth="1"/>
  </cols>
  <sheetData>
    <row r="1" spans="1:6" x14ac:dyDescent="0.3">
      <c r="A1" t="s">
        <v>2</v>
      </c>
    </row>
    <row r="3" spans="1:6" x14ac:dyDescent="0.3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</row>
    <row r="4" spans="1:6" x14ac:dyDescent="0.3">
      <c r="A4" s="1" t="s">
        <v>9</v>
      </c>
      <c r="B4" s="1" t="s">
        <v>10</v>
      </c>
      <c r="C4" s="1" t="s">
        <v>11</v>
      </c>
      <c r="D4" s="1">
        <v>60</v>
      </c>
      <c r="E4" s="1" t="s">
        <v>12</v>
      </c>
      <c r="F4" s="1" t="s">
        <v>13</v>
      </c>
    </row>
    <row r="5" spans="1:6" x14ac:dyDescent="0.3">
      <c r="A5" s="1" t="s">
        <v>14</v>
      </c>
      <c r="B5" s="1" t="s">
        <v>15</v>
      </c>
      <c r="C5" s="1"/>
      <c r="D5" s="1">
        <v>53</v>
      </c>
      <c r="E5" s="1" t="s">
        <v>16</v>
      </c>
      <c r="F5" s="1" t="s">
        <v>17</v>
      </c>
    </row>
    <row r="6" spans="1:6" x14ac:dyDescent="0.3">
      <c r="A6" s="1" t="s">
        <v>18</v>
      </c>
      <c r="B6" s="1" t="s">
        <v>19</v>
      </c>
      <c r="C6" s="1"/>
      <c r="D6" s="1">
        <v>47</v>
      </c>
      <c r="E6" s="1" t="s">
        <v>20</v>
      </c>
      <c r="F6" s="1" t="s">
        <v>21</v>
      </c>
    </row>
    <row r="7" spans="1:6" x14ac:dyDescent="0.3">
      <c r="A7" s="1" t="s">
        <v>22</v>
      </c>
      <c r="B7" s="1" t="s">
        <v>23</v>
      </c>
      <c r="C7" s="1"/>
      <c r="D7" s="1">
        <v>60</v>
      </c>
      <c r="E7" s="1" t="s">
        <v>24</v>
      </c>
      <c r="F7" s="1" t="s">
        <v>25</v>
      </c>
    </row>
    <row r="8" spans="1:6" x14ac:dyDescent="0.3">
      <c r="A8" s="1" t="s">
        <v>26</v>
      </c>
      <c r="B8" s="1" t="s">
        <v>27</v>
      </c>
      <c r="C8" s="1"/>
      <c r="D8" s="1">
        <v>50</v>
      </c>
      <c r="E8" s="1" t="s">
        <v>28</v>
      </c>
      <c r="F8" s="1" t="s">
        <v>29</v>
      </c>
    </row>
    <row r="9" spans="1:6" x14ac:dyDescent="0.3">
      <c r="A9" s="1" t="s">
        <v>30</v>
      </c>
      <c r="B9" s="1" t="s">
        <v>31</v>
      </c>
      <c r="C9" s="1" t="s">
        <v>32</v>
      </c>
      <c r="D9" s="1">
        <v>54</v>
      </c>
      <c r="E9" s="1" t="s">
        <v>33</v>
      </c>
      <c r="F9" s="1" t="s">
        <v>34</v>
      </c>
    </row>
    <row r="10" spans="1:6" x14ac:dyDescent="0.3">
      <c r="A10" s="1" t="s">
        <v>35</v>
      </c>
      <c r="B10" s="1" t="s">
        <v>36</v>
      </c>
      <c r="C10" s="1"/>
      <c r="D10" s="1">
        <v>50</v>
      </c>
      <c r="E10" s="1" t="s">
        <v>37</v>
      </c>
      <c r="F10" s="1" t="s">
        <v>34</v>
      </c>
    </row>
    <row r="11" spans="1:6" x14ac:dyDescent="0.3">
      <c r="A11" s="1" t="s">
        <v>38</v>
      </c>
      <c r="B11" s="1" t="s">
        <v>39</v>
      </c>
      <c r="C11" s="1"/>
      <c r="D11" s="1">
        <v>55</v>
      </c>
      <c r="E11" s="1" t="s">
        <v>40</v>
      </c>
      <c r="F11" s="1" t="s">
        <v>29</v>
      </c>
    </row>
    <row r="12" spans="1:6" x14ac:dyDescent="0.3">
      <c r="A12" s="1" t="s">
        <v>41</v>
      </c>
      <c r="B12" s="1" t="s">
        <v>42</v>
      </c>
      <c r="C12" s="1"/>
      <c r="D12" s="1">
        <v>53</v>
      </c>
      <c r="E12" s="1" t="s">
        <v>43</v>
      </c>
      <c r="F12" s="1" t="s">
        <v>44</v>
      </c>
    </row>
    <row r="13" spans="1:6" x14ac:dyDescent="0.3">
      <c r="A13" s="1" t="s">
        <v>45</v>
      </c>
      <c r="B13" s="1" t="s">
        <v>46</v>
      </c>
      <c r="C13" s="1"/>
      <c r="D13" s="1">
        <v>56</v>
      </c>
      <c r="E13" s="1" t="s">
        <v>47</v>
      </c>
      <c r="F13" s="1" t="s">
        <v>44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"/>
  <sheetViews>
    <sheetView workbookViewId="0">
      <selection activeCell="R12" sqref="R12"/>
    </sheetView>
  </sheetViews>
  <sheetFormatPr defaultRowHeight="16.5" x14ac:dyDescent="0.3"/>
  <cols>
    <col min="1" max="1" width="13" bestFit="1" customWidth="1"/>
    <col min="2" max="2" width="9.625" bestFit="1" customWidth="1"/>
    <col min="5" max="7" width="10" bestFit="1" customWidth="1"/>
  </cols>
  <sheetData>
    <row r="1" spans="1:8" ht="20.25" x14ac:dyDescent="0.3">
      <c r="A1" s="20" t="s">
        <v>48</v>
      </c>
      <c r="B1" s="20"/>
      <c r="C1" s="20"/>
      <c r="D1" s="20"/>
      <c r="E1" s="20"/>
      <c r="F1" s="20"/>
      <c r="G1" s="20"/>
      <c r="H1" s="20"/>
    </row>
    <row r="3" spans="1:8" x14ac:dyDescent="0.3">
      <c r="A3" s="3" t="s">
        <v>49</v>
      </c>
      <c r="B3" s="3" t="s">
        <v>50</v>
      </c>
      <c r="C3" s="3" t="s">
        <v>1</v>
      </c>
      <c r="D3" s="3" t="s">
        <v>51</v>
      </c>
      <c r="E3" s="3" t="s">
        <v>52</v>
      </c>
      <c r="F3" s="3" t="s">
        <v>53</v>
      </c>
      <c r="G3" s="3" t="s">
        <v>54</v>
      </c>
      <c r="H3" s="4" t="s">
        <v>55</v>
      </c>
    </row>
    <row r="4" spans="1:8" x14ac:dyDescent="0.3">
      <c r="A4" s="3" t="s">
        <v>56</v>
      </c>
      <c r="B4" s="3" t="s">
        <v>57</v>
      </c>
      <c r="C4" s="3" t="s">
        <v>58</v>
      </c>
      <c r="D4" s="3" t="s">
        <v>59</v>
      </c>
      <c r="E4" s="3">
        <v>654</v>
      </c>
      <c r="F4" s="3">
        <v>530</v>
      </c>
      <c r="G4" s="3">
        <v>631</v>
      </c>
      <c r="H4" s="5">
        <f>SUM(E4:G4)</f>
        <v>1815</v>
      </c>
    </row>
    <row r="5" spans="1:8" x14ac:dyDescent="0.3">
      <c r="A5" s="3" t="s">
        <v>60</v>
      </c>
      <c r="B5" s="3" t="s">
        <v>61</v>
      </c>
      <c r="C5" s="3" t="s">
        <v>62</v>
      </c>
      <c r="D5" s="3" t="s">
        <v>63</v>
      </c>
      <c r="E5" s="3">
        <v>248</v>
      </c>
      <c r="F5" s="3">
        <v>239</v>
      </c>
      <c r="G5" s="3">
        <v>266</v>
      </c>
      <c r="H5" s="5">
        <f t="shared" ref="H5:H18" si="0">SUM(E5:G5)</f>
        <v>753</v>
      </c>
    </row>
    <row r="6" spans="1:8" x14ac:dyDescent="0.3">
      <c r="A6" s="3" t="s">
        <v>64</v>
      </c>
      <c r="B6" s="3" t="s">
        <v>65</v>
      </c>
      <c r="C6" s="3" t="s">
        <v>66</v>
      </c>
      <c r="D6" s="3" t="s">
        <v>67</v>
      </c>
      <c r="E6" s="3">
        <v>357</v>
      </c>
      <c r="F6" s="3">
        <v>289</v>
      </c>
      <c r="G6" s="3">
        <v>344</v>
      </c>
      <c r="H6" s="5">
        <f t="shared" si="0"/>
        <v>990</v>
      </c>
    </row>
    <row r="7" spans="1:8" x14ac:dyDescent="0.3">
      <c r="A7" s="3" t="s">
        <v>68</v>
      </c>
      <c r="B7" s="3" t="s">
        <v>69</v>
      </c>
      <c r="C7" s="3" t="s">
        <v>66</v>
      </c>
      <c r="D7" s="3" t="s">
        <v>70</v>
      </c>
      <c r="E7" s="3">
        <v>512</v>
      </c>
      <c r="F7" s="3">
        <v>415</v>
      </c>
      <c r="G7" s="3">
        <v>494</v>
      </c>
      <c r="H7" s="5">
        <f t="shared" si="0"/>
        <v>1421</v>
      </c>
    </row>
    <row r="8" spans="1:8" x14ac:dyDescent="0.3">
      <c r="A8" s="3" t="s">
        <v>71</v>
      </c>
      <c r="B8" s="3" t="s">
        <v>72</v>
      </c>
      <c r="C8" s="3" t="s">
        <v>62</v>
      </c>
      <c r="D8" s="3" t="s">
        <v>73</v>
      </c>
      <c r="E8" s="3">
        <v>686</v>
      </c>
      <c r="F8" s="3">
        <v>662</v>
      </c>
      <c r="G8" s="3">
        <v>556</v>
      </c>
      <c r="H8" s="5">
        <f t="shared" si="0"/>
        <v>1904</v>
      </c>
    </row>
    <row r="9" spans="1:8" x14ac:dyDescent="0.3">
      <c r="A9" s="3" t="s">
        <v>74</v>
      </c>
      <c r="B9" s="3" t="s">
        <v>75</v>
      </c>
      <c r="C9" s="3" t="s">
        <v>58</v>
      </c>
      <c r="D9" s="3" t="s">
        <v>76</v>
      </c>
      <c r="E9" s="3">
        <v>533</v>
      </c>
      <c r="F9" s="3">
        <v>514</v>
      </c>
      <c r="G9" s="3">
        <v>432</v>
      </c>
      <c r="H9" s="5">
        <f t="shared" si="0"/>
        <v>1479</v>
      </c>
    </row>
    <row r="10" spans="1:8" x14ac:dyDescent="0.3">
      <c r="A10" s="3" t="s">
        <v>77</v>
      </c>
      <c r="B10" s="3" t="s">
        <v>78</v>
      </c>
      <c r="C10" s="3" t="s">
        <v>62</v>
      </c>
      <c r="D10" s="3" t="s">
        <v>79</v>
      </c>
      <c r="E10" s="3">
        <v>384</v>
      </c>
      <c r="F10" s="3">
        <v>311</v>
      </c>
      <c r="G10" s="3">
        <v>370</v>
      </c>
      <c r="H10" s="5">
        <f t="shared" si="0"/>
        <v>1065</v>
      </c>
    </row>
    <row r="11" spans="1:8" x14ac:dyDescent="0.3">
      <c r="A11" s="3" t="s">
        <v>80</v>
      </c>
      <c r="B11" s="3" t="s">
        <v>81</v>
      </c>
      <c r="C11" s="3" t="s">
        <v>66</v>
      </c>
      <c r="D11" s="3" t="s">
        <v>82</v>
      </c>
      <c r="E11" s="3">
        <v>527</v>
      </c>
      <c r="F11" s="3">
        <v>508</v>
      </c>
      <c r="G11" s="3">
        <v>427</v>
      </c>
      <c r="H11" s="5">
        <f t="shared" si="0"/>
        <v>1462</v>
      </c>
    </row>
    <row r="12" spans="1:8" x14ac:dyDescent="0.3">
      <c r="A12" s="3" t="s">
        <v>83</v>
      </c>
      <c r="B12" s="3" t="s">
        <v>84</v>
      </c>
      <c r="C12" s="3" t="s">
        <v>66</v>
      </c>
      <c r="D12" s="3" t="s">
        <v>85</v>
      </c>
      <c r="E12" s="3">
        <v>435</v>
      </c>
      <c r="F12" s="3">
        <v>419</v>
      </c>
      <c r="G12" s="3">
        <v>352</v>
      </c>
      <c r="H12" s="5">
        <f t="shared" si="0"/>
        <v>1206</v>
      </c>
    </row>
    <row r="13" spans="1:8" x14ac:dyDescent="0.3">
      <c r="A13" s="3" t="s">
        <v>86</v>
      </c>
      <c r="B13" s="3" t="s">
        <v>87</v>
      </c>
      <c r="C13" s="3" t="s">
        <v>58</v>
      </c>
      <c r="D13" s="3" t="s">
        <v>88</v>
      </c>
      <c r="E13" s="3">
        <v>246</v>
      </c>
      <c r="F13" s="3">
        <v>199</v>
      </c>
      <c r="G13" s="3">
        <v>237</v>
      </c>
      <c r="H13" s="5">
        <f t="shared" si="0"/>
        <v>682</v>
      </c>
    </row>
    <row r="14" spans="1:8" x14ac:dyDescent="0.3">
      <c r="A14" s="3" t="s">
        <v>89</v>
      </c>
      <c r="B14" s="3" t="s">
        <v>90</v>
      </c>
      <c r="C14" s="3" t="s">
        <v>62</v>
      </c>
      <c r="D14" s="3" t="s">
        <v>79</v>
      </c>
      <c r="E14" s="3">
        <v>644</v>
      </c>
      <c r="F14" s="3">
        <v>522</v>
      </c>
      <c r="G14" s="3">
        <v>681</v>
      </c>
      <c r="H14" s="5">
        <f t="shared" si="0"/>
        <v>1847</v>
      </c>
    </row>
    <row r="15" spans="1:8" x14ac:dyDescent="0.3">
      <c r="A15" s="3" t="s">
        <v>91</v>
      </c>
      <c r="B15" s="3" t="s">
        <v>92</v>
      </c>
      <c r="C15" s="3" t="s">
        <v>62</v>
      </c>
      <c r="D15" s="3" t="s">
        <v>79</v>
      </c>
      <c r="E15" s="3">
        <v>385</v>
      </c>
      <c r="F15" s="3">
        <v>312</v>
      </c>
      <c r="G15" s="3">
        <v>400</v>
      </c>
      <c r="H15" s="5">
        <f t="shared" si="0"/>
        <v>1097</v>
      </c>
    </row>
    <row r="16" spans="1:8" x14ac:dyDescent="0.3">
      <c r="A16" s="3" t="s">
        <v>93</v>
      </c>
      <c r="B16" s="3" t="s">
        <v>94</v>
      </c>
      <c r="C16" s="3" t="s">
        <v>58</v>
      </c>
      <c r="D16" s="3" t="s">
        <v>95</v>
      </c>
      <c r="E16" s="3">
        <v>601</v>
      </c>
      <c r="F16" s="3">
        <v>557</v>
      </c>
      <c r="G16" s="3">
        <v>628</v>
      </c>
      <c r="H16" s="5">
        <f t="shared" si="0"/>
        <v>1786</v>
      </c>
    </row>
    <row r="17" spans="1:8" x14ac:dyDescent="0.3">
      <c r="A17" s="3" t="s">
        <v>96</v>
      </c>
      <c r="B17" s="3" t="s">
        <v>97</v>
      </c>
      <c r="C17" s="3" t="s">
        <v>62</v>
      </c>
      <c r="D17" s="3" t="s">
        <v>98</v>
      </c>
      <c r="E17" s="3">
        <v>783</v>
      </c>
      <c r="F17" s="3">
        <v>834</v>
      </c>
      <c r="G17" s="3">
        <v>769</v>
      </c>
      <c r="H17" s="5">
        <f t="shared" si="0"/>
        <v>2386</v>
      </c>
    </row>
    <row r="18" spans="1:8" x14ac:dyDescent="0.3">
      <c r="A18" s="3" t="s">
        <v>99</v>
      </c>
      <c r="B18" s="3" t="s">
        <v>100</v>
      </c>
      <c r="C18" s="3" t="s">
        <v>62</v>
      </c>
      <c r="D18" s="3" t="s">
        <v>101</v>
      </c>
      <c r="E18" s="3">
        <v>346</v>
      </c>
      <c r="F18" s="3">
        <v>469</v>
      </c>
      <c r="G18" s="3">
        <v>422</v>
      </c>
      <c r="H18" s="5">
        <f t="shared" si="0"/>
        <v>1237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5"/>
  <sheetViews>
    <sheetView workbookViewId="0">
      <selection activeCell="J27" sqref="J27"/>
    </sheetView>
  </sheetViews>
  <sheetFormatPr defaultRowHeight="16.5" x14ac:dyDescent="0.3"/>
  <cols>
    <col min="4" max="4" width="12.375" bestFit="1" customWidth="1"/>
    <col min="6" max="6" width="10.375" bestFit="1" customWidth="1"/>
  </cols>
  <sheetData>
    <row r="1" spans="1:10" x14ac:dyDescent="0.3">
      <c r="A1" s="7" t="s">
        <v>130</v>
      </c>
      <c r="B1" s="8" t="s">
        <v>131</v>
      </c>
      <c r="F1" s="7" t="s">
        <v>132</v>
      </c>
      <c r="G1" s="8" t="s">
        <v>133</v>
      </c>
    </row>
    <row r="2" spans="1:10" x14ac:dyDescent="0.3">
      <c r="A2" s="3" t="s">
        <v>134</v>
      </c>
      <c r="B2" s="3" t="s">
        <v>135</v>
      </c>
      <c r="F2" s="9" t="s">
        <v>136</v>
      </c>
      <c r="G2" s="9" t="s">
        <v>137</v>
      </c>
      <c r="H2" s="9" t="s">
        <v>138</v>
      </c>
      <c r="I2" s="9" t="s">
        <v>139</v>
      </c>
      <c r="J2" s="10" t="s">
        <v>140</v>
      </c>
    </row>
    <row r="3" spans="1:10" x14ac:dyDescent="0.3">
      <c r="A3" s="3" t="s">
        <v>141</v>
      </c>
      <c r="B3" s="11">
        <v>1213.9100000000001</v>
      </c>
      <c r="F3" s="9" t="s">
        <v>142</v>
      </c>
      <c r="G3" s="9" t="s">
        <v>143</v>
      </c>
      <c r="H3" s="12">
        <v>0.5587037037037037</v>
      </c>
      <c r="I3" s="12">
        <v>0.5822222222222222</v>
      </c>
      <c r="J3" s="12"/>
    </row>
    <row r="4" spans="1:10" x14ac:dyDescent="0.3">
      <c r="A4" s="3" t="s">
        <v>144</v>
      </c>
      <c r="B4" s="11">
        <v>915.52</v>
      </c>
      <c r="F4" s="9" t="s">
        <v>145</v>
      </c>
      <c r="G4" s="9" t="s">
        <v>146</v>
      </c>
      <c r="H4" s="12">
        <v>0.58013888888888887</v>
      </c>
      <c r="I4" s="12">
        <v>0.60688657407407409</v>
      </c>
      <c r="J4" s="12"/>
    </row>
    <row r="5" spans="1:10" x14ac:dyDescent="0.3">
      <c r="A5" s="3" t="s">
        <v>147</v>
      </c>
      <c r="B5" s="11">
        <v>1591.79</v>
      </c>
      <c r="F5" s="9" t="s">
        <v>148</v>
      </c>
      <c r="G5" s="9" t="s">
        <v>149</v>
      </c>
      <c r="H5" s="12">
        <v>0.5663541666666666</v>
      </c>
      <c r="I5" s="12">
        <v>0.60390046296296296</v>
      </c>
      <c r="J5" s="12"/>
    </row>
    <row r="6" spans="1:10" x14ac:dyDescent="0.3">
      <c r="A6" s="3" t="s">
        <v>150</v>
      </c>
      <c r="B6" s="11">
        <v>990.44</v>
      </c>
      <c r="D6" s="13" t="s">
        <v>151</v>
      </c>
      <c r="F6" s="9" t="s">
        <v>152</v>
      </c>
      <c r="G6" s="9" t="s">
        <v>153</v>
      </c>
      <c r="H6" s="12">
        <v>0.55435185185185187</v>
      </c>
      <c r="I6" s="12">
        <v>0.57571759259259259</v>
      </c>
      <c r="J6" s="12"/>
    </row>
    <row r="7" spans="1:10" x14ac:dyDescent="0.3">
      <c r="A7" s="3" t="s">
        <v>154</v>
      </c>
      <c r="B7" s="11">
        <v>190.58</v>
      </c>
      <c r="C7" s="13" t="s">
        <v>155</v>
      </c>
      <c r="D7" s="3"/>
      <c r="F7" s="9" t="s">
        <v>156</v>
      </c>
      <c r="G7" s="9" t="s">
        <v>157</v>
      </c>
      <c r="H7" s="12">
        <v>0.56436342592592592</v>
      </c>
      <c r="I7" s="12">
        <v>0.59150462962962969</v>
      </c>
      <c r="J7" s="12"/>
    </row>
    <row r="8" spans="1:10" x14ac:dyDescent="0.3">
      <c r="F8" s="9" t="s">
        <v>158</v>
      </c>
      <c r="G8" s="9" t="s">
        <v>159</v>
      </c>
      <c r="H8" s="12">
        <v>0.57093749999999999</v>
      </c>
      <c r="I8" s="12">
        <v>0.60993055555555553</v>
      </c>
      <c r="J8" s="12"/>
    </row>
    <row r="9" spans="1:10" x14ac:dyDescent="0.3">
      <c r="F9" s="9" t="s">
        <v>160</v>
      </c>
      <c r="G9" s="9" t="s">
        <v>161</v>
      </c>
      <c r="H9" s="12">
        <v>0.56136574074074075</v>
      </c>
      <c r="I9" s="12">
        <v>0.58783564814814815</v>
      </c>
      <c r="J9" s="12"/>
    </row>
    <row r="10" spans="1:10" x14ac:dyDescent="0.3">
      <c r="A10" s="7" t="s">
        <v>162</v>
      </c>
      <c r="B10" s="8" t="s">
        <v>163</v>
      </c>
      <c r="D10" s="14"/>
    </row>
    <row r="11" spans="1:10" x14ac:dyDescent="0.3">
      <c r="A11" s="3" t="s">
        <v>164</v>
      </c>
      <c r="B11" s="3" t="s">
        <v>165</v>
      </c>
      <c r="C11" s="3" t="s">
        <v>166</v>
      </c>
      <c r="D11" s="3" t="s">
        <v>167</v>
      </c>
      <c r="G11" s="15" t="s">
        <v>168</v>
      </c>
      <c r="H11" s="8" t="s">
        <v>169</v>
      </c>
    </row>
    <row r="12" spans="1:10" x14ac:dyDescent="0.3">
      <c r="A12" s="3" t="s">
        <v>170</v>
      </c>
      <c r="B12" s="3" t="s">
        <v>171</v>
      </c>
      <c r="C12" s="16">
        <v>3388</v>
      </c>
      <c r="D12" s="16">
        <f t="shared" ref="D12:D19" si="0">C12*1283</f>
        <v>4346804</v>
      </c>
      <c r="G12" s="3" t="s">
        <v>104</v>
      </c>
      <c r="H12" s="3" t="s">
        <v>172</v>
      </c>
      <c r="I12" s="3" t="s">
        <v>173</v>
      </c>
      <c r="J12" s="3" t="s">
        <v>103</v>
      </c>
    </row>
    <row r="13" spans="1:10" x14ac:dyDescent="0.3">
      <c r="A13" s="3" t="s">
        <v>174</v>
      </c>
      <c r="B13" s="3" t="s">
        <v>175</v>
      </c>
      <c r="C13" s="16">
        <v>2461</v>
      </c>
      <c r="D13" s="16">
        <f t="shared" si="0"/>
        <v>3157463</v>
      </c>
      <c r="G13" s="3" t="s">
        <v>176</v>
      </c>
      <c r="H13" s="3" t="s">
        <v>115</v>
      </c>
      <c r="I13" s="3">
        <v>645</v>
      </c>
      <c r="J13" s="3" t="s">
        <v>177</v>
      </c>
    </row>
    <row r="14" spans="1:10" x14ac:dyDescent="0.3">
      <c r="A14" s="3" t="s">
        <v>178</v>
      </c>
      <c r="B14" s="3" t="s">
        <v>171</v>
      </c>
      <c r="C14" s="16">
        <v>2959</v>
      </c>
      <c r="D14" s="16">
        <f t="shared" si="0"/>
        <v>3796397</v>
      </c>
      <c r="G14" s="3" t="s">
        <v>179</v>
      </c>
      <c r="H14" s="3" t="s">
        <v>115</v>
      </c>
      <c r="I14" s="3">
        <v>574</v>
      </c>
      <c r="J14" s="3" t="s">
        <v>180</v>
      </c>
    </row>
    <row r="15" spans="1:10" x14ac:dyDescent="0.3">
      <c r="A15" s="3" t="s">
        <v>181</v>
      </c>
      <c r="B15" s="3" t="s">
        <v>182</v>
      </c>
      <c r="C15" s="16">
        <v>3796</v>
      </c>
      <c r="D15" s="16">
        <f t="shared" si="0"/>
        <v>4870268</v>
      </c>
      <c r="G15" s="3" t="s">
        <v>183</v>
      </c>
      <c r="H15" s="3" t="s">
        <v>115</v>
      </c>
      <c r="I15" s="3">
        <v>429</v>
      </c>
      <c r="J15" s="3" t="s">
        <v>184</v>
      </c>
    </row>
    <row r="16" spans="1:10" x14ac:dyDescent="0.3">
      <c r="A16" s="3" t="s">
        <v>185</v>
      </c>
      <c r="B16" s="3" t="s">
        <v>171</v>
      </c>
      <c r="C16" s="16">
        <v>3502</v>
      </c>
      <c r="D16" s="16">
        <f t="shared" si="0"/>
        <v>4493066</v>
      </c>
      <c r="G16" s="3" t="s">
        <v>176</v>
      </c>
      <c r="H16" s="3" t="s">
        <v>117</v>
      </c>
      <c r="I16" s="3">
        <v>721</v>
      </c>
      <c r="J16" s="3" t="s">
        <v>186</v>
      </c>
    </row>
    <row r="17" spans="1:10" x14ac:dyDescent="0.3">
      <c r="A17" s="3" t="s">
        <v>187</v>
      </c>
      <c r="B17" s="3" t="s">
        <v>171</v>
      </c>
      <c r="C17" s="16">
        <v>2681</v>
      </c>
      <c r="D17" s="16">
        <f t="shared" si="0"/>
        <v>3439723</v>
      </c>
      <c r="G17" s="3" t="s">
        <v>179</v>
      </c>
      <c r="H17" s="3" t="s">
        <v>117</v>
      </c>
      <c r="I17" s="3">
        <v>827</v>
      </c>
      <c r="J17" s="3" t="s">
        <v>188</v>
      </c>
    </row>
    <row r="18" spans="1:10" x14ac:dyDescent="0.3">
      <c r="A18" s="3" t="s">
        <v>189</v>
      </c>
      <c r="B18" s="3" t="s">
        <v>175</v>
      </c>
      <c r="C18" s="16">
        <v>4034</v>
      </c>
      <c r="D18" s="16">
        <f t="shared" si="0"/>
        <v>5175622</v>
      </c>
      <c r="G18" s="3" t="s">
        <v>183</v>
      </c>
      <c r="H18" s="3" t="s">
        <v>117</v>
      </c>
      <c r="I18" s="3">
        <v>704</v>
      </c>
      <c r="J18" s="3" t="s">
        <v>190</v>
      </c>
    </row>
    <row r="19" spans="1:10" x14ac:dyDescent="0.3">
      <c r="A19" s="3" t="s">
        <v>191</v>
      </c>
      <c r="B19" s="3" t="s">
        <v>182</v>
      </c>
      <c r="C19" s="16">
        <v>3498</v>
      </c>
      <c r="D19" s="16">
        <f t="shared" si="0"/>
        <v>4487934</v>
      </c>
      <c r="G19" s="3" t="s">
        <v>176</v>
      </c>
      <c r="H19" s="3" t="s">
        <v>119</v>
      </c>
      <c r="I19" s="3">
        <v>628</v>
      </c>
      <c r="J19" s="3" t="s">
        <v>192</v>
      </c>
    </row>
    <row r="20" spans="1:10" x14ac:dyDescent="0.3">
      <c r="G20" s="3" t="s">
        <v>179</v>
      </c>
      <c r="H20" s="3" t="s">
        <v>119</v>
      </c>
      <c r="I20" s="3">
        <v>699</v>
      </c>
      <c r="J20" s="3" t="s">
        <v>193</v>
      </c>
    </row>
    <row r="21" spans="1:10" x14ac:dyDescent="0.3">
      <c r="C21" s="3"/>
      <c r="D21" s="13" t="s">
        <v>194</v>
      </c>
      <c r="G21" s="3" t="s">
        <v>183</v>
      </c>
      <c r="H21" s="3" t="s">
        <v>119</v>
      </c>
      <c r="I21" s="3">
        <v>763</v>
      </c>
      <c r="J21" s="3" t="s">
        <v>195</v>
      </c>
    </row>
    <row r="22" spans="1:10" x14ac:dyDescent="0.3">
      <c r="C22" s="3"/>
      <c r="D22" s="17"/>
      <c r="G22" s="21" t="s">
        <v>196</v>
      </c>
      <c r="H22" s="22"/>
      <c r="I22" s="23"/>
      <c r="J22" s="3"/>
    </row>
    <row r="24" spans="1:10" x14ac:dyDescent="0.3">
      <c r="A24" s="7" t="s">
        <v>197</v>
      </c>
      <c r="B24" s="8" t="s">
        <v>198</v>
      </c>
    </row>
    <row r="25" spans="1:10" x14ac:dyDescent="0.3">
      <c r="A25" s="3" t="s">
        <v>199</v>
      </c>
      <c r="B25" s="3" t="s">
        <v>200</v>
      </c>
      <c r="C25" s="3" t="s">
        <v>201</v>
      </c>
      <c r="D25" s="3" t="s">
        <v>202</v>
      </c>
      <c r="E25" s="13" t="s">
        <v>203</v>
      </c>
    </row>
    <row r="26" spans="1:10" x14ac:dyDescent="0.3">
      <c r="A26" s="3" t="s">
        <v>204</v>
      </c>
      <c r="B26" s="3">
        <v>64</v>
      </c>
      <c r="C26" s="3">
        <v>70</v>
      </c>
      <c r="D26" s="3">
        <f>SUM(B26:C26)</f>
        <v>134</v>
      </c>
      <c r="E26" s="3"/>
    </row>
    <row r="27" spans="1:10" x14ac:dyDescent="0.3">
      <c r="A27" s="3" t="s">
        <v>205</v>
      </c>
      <c r="B27" s="3">
        <v>95</v>
      </c>
      <c r="C27" s="3">
        <v>91</v>
      </c>
      <c r="D27" s="3">
        <f t="shared" ref="D27:D35" si="1">SUM(B27:C27)</f>
        <v>186</v>
      </c>
      <c r="E27" s="3"/>
    </row>
    <row r="28" spans="1:10" x14ac:dyDescent="0.3">
      <c r="A28" s="3" t="s">
        <v>206</v>
      </c>
      <c r="B28" s="3">
        <v>37</v>
      </c>
      <c r="C28" s="3">
        <v>61</v>
      </c>
      <c r="D28" s="3">
        <f t="shared" si="1"/>
        <v>98</v>
      </c>
      <c r="E28" s="3"/>
    </row>
    <row r="29" spans="1:10" x14ac:dyDescent="0.3">
      <c r="A29" s="3" t="s">
        <v>207</v>
      </c>
      <c r="B29" s="3">
        <v>88</v>
      </c>
      <c r="C29" s="3">
        <v>93</v>
      </c>
      <c r="D29" s="3">
        <f t="shared" si="1"/>
        <v>181</v>
      </c>
      <c r="E29" s="3"/>
    </row>
    <row r="30" spans="1:10" x14ac:dyDescent="0.3">
      <c r="A30" s="3" t="s">
        <v>208</v>
      </c>
      <c r="B30" s="3">
        <v>90</v>
      </c>
      <c r="C30" s="3">
        <v>94</v>
      </c>
      <c r="D30" s="3">
        <f t="shared" si="1"/>
        <v>184</v>
      </c>
      <c r="E30" s="3"/>
    </row>
    <row r="31" spans="1:10" x14ac:dyDescent="0.3">
      <c r="A31" s="3" t="s">
        <v>209</v>
      </c>
      <c r="B31" s="3">
        <v>57</v>
      </c>
      <c r="C31" s="3">
        <v>59</v>
      </c>
      <c r="D31" s="3">
        <f t="shared" si="1"/>
        <v>116</v>
      </c>
      <c r="E31" s="3"/>
    </row>
    <row r="32" spans="1:10" x14ac:dyDescent="0.3">
      <c r="A32" s="3" t="s">
        <v>210</v>
      </c>
      <c r="B32" s="3">
        <v>77</v>
      </c>
      <c r="C32" s="3">
        <v>69</v>
      </c>
      <c r="D32" s="3">
        <f t="shared" si="1"/>
        <v>146</v>
      </c>
      <c r="E32" s="3"/>
    </row>
    <row r="33" spans="1:5" x14ac:dyDescent="0.3">
      <c r="A33" s="3" t="s">
        <v>211</v>
      </c>
      <c r="B33" s="3">
        <v>55</v>
      </c>
      <c r="C33" s="3">
        <v>39</v>
      </c>
      <c r="D33" s="3">
        <f t="shared" si="1"/>
        <v>94</v>
      </c>
      <c r="E33" s="3"/>
    </row>
    <row r="34" spans="1:5" x14ac:dyDescent="0.3">
      <c r="A34" s="3" t="s">
        <v>212</v>
      </c>
      <c r="B34" s="3">
        <v>49</v>
      </c>
      <c r="C34" s="3">
        <v>44</v>
      </c>
      <c r="D34" s="3">
        <f t="shared" si="1"/>
        <v>93</v>
      </c>
      <c r="E34" s="3"/>
    </row>
    <row r="35" spans="1:5" x14ac:dyDescent="0.3">
      <c r="A35" s="3" t="s">
        <v>213</v>
      </c>
      <c r="B35" s="3">
        <v>84</v>
      </c>
      <c r="C35" s="3">
        <v>76</v>
      </c>
      <c r="D35" s="3">
        <f t="shared" si="1"/>
        <v>160</v>
      </c>
      <c r="E35" s="3"/>
    </row>
  </sheetData>
  <mergeCells count="1">
    <mergeCell ref="G22:I22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>
      <selection activeCell="L17" sqref="L17"/>
    </sheetView>
  </sheetViews>
  <sheetFormatPr defaultRowHeight="16.5" x14ac:dyDescent="0.3"/>
  <cols>
    <col min="5" max="6" width="10.875" bestFit="1" customWidth="1"/>
    <col min="7" max="7" width="9.375" bestFit="1" customWidth="1"/>
    <col min="8" max="8" width="10.875" bestFit="1" customWidth="1"/>
  </cols>
  <sheetData>
    <row r="1" spans="1:8" ht="20.25" x14ac:dyDescent="0.3">
      <c r="A1" s="20" t="s">
        <v>102</v>
      </c>
      <c r="B1" s="20"/>
      <c r="C1" s="20"/>
      <c r="D1" s="20"/>
      <c r="E1" s="20"/>
      <c r="F1" s="20"/>
      <c r="G1" s="20"/>
      <c r="H1" s="20"/>
    </row>
    <row r="3" spans="1:8" x14ac:dyDescent="0.3">
      <c r="A3" s="3" t="s">
        <v>103</v>
      </c>
      <c r="B3" s="3" t="s">
        <v>104</v>
      </c>
      <c r="C3" s="3" t="s">
        <v>105</v>
      </c>
      <c r="D3" s="3" t="s">
        <v>106</v>
      </c>
      <c r="E3" s="3" t="s">
        <v>107</v>
      </c>
      <c r="F3" s="3" t="s">
        <v>108</v>
      </c>
      <c r="G3" s="3" t="s">
        <v>109</v>
      </c>
      <c r="H3" s="3" t="s">
        <v>110</v>
      </c>
    </row>
    <row r="4" spans="1:8" x14ac:dyDescent="0.3">
      <c r="A4" s="3" t="s">
        <v>111</v>
      </c>
      <c r="B4" s="3" t="s">
        <v>112</v>
      </c>
      <c r="C4" s="3" t="s">
        <v>113</v>
      </c>
      <c r="D4" s="3">
        <v>6</v>
      </c>
      <c r="E4" s="6">
        <v>3800000</v>
      </c>
      <c r="F4" s="6">
        <v>1600000</v>
      </c>
      <c r="G4" s="6">
        <v>700000</v>
      </c>
      <c r="H4" s="6">
        <v>4700000</v>
      </c>
    </row>
    <row r="5" spans="1:8" x14ac:dyDescent="0.3">
      <c r="A5" s="3" t="s">
        <v>114</v>
      </c>
      <c r="B5" s="3" t="s">
        <v>112</v>
      </c>
      <c r="C5" s="3" t="s">
        <v>115</v>
      </c>
      <c r="D5" s="3">
        <v>5</v>
      </c>
      <c r="E5" s="6">
        <v>3000000</v>
      </c>
      <c r="F5" s="6">
        <v>1400000</v>
      </c>
      <c r="G5" s="6">
        <v>570000</v>
      </c>
      <c r="H5" s="6">
        <v>3830000</v>
      </c>
    </row>
    <row r="6" spans="1:8" x14ac:dyDescent="0.3">
      <c r="A6" s="3" t="s">
        <v>116</v>
      </c>
      <c r="B6" s="3" t="s">
        <v>112</v>
      </c>
      <c r="C6" s="3" t="s">
        <v>117</v>
      </c>
      <c r="D6" s="3">
        <v>1</v>
      </c>
      <c r="E6" s="6">
        <v>2000000</v>
      </c>
      <c r="F6" s="6">
        <v>1100000</v>
      </c>
      <c r="G6" s="6">
        <v>400000</v>
      </c>
      <c r="H6" s="6">
        <v>2700000</v>
      </c>
    </row>
    <row r="7" spans="1:8" x14ac:dyDescent="0.3">
      <c r="A7" s="3" t="s">
        <v>118</v>
      </c>
      <c r="B7" s="3" t="s">
        <v>112</v>
      </c>
      <c r="C7" s="3" t="s">
        <v>119</v>
      </c>
      <c r="D7" s="3">
        <v>3</v>
      </c>
      <c r="E7" s="6">
        <v>1900000</v>
      </c>
      <c r="F7" s="6">
        <v>900000</v>
      </c>
      <c r="G7" s="6">
        <v>360000</v>
      </c>
      <c r="H7" s="6">
        <v>2440000</v>
      </c>
    </row>
    <row r="8" spans="1:8" x14ac:dyDescent="0.3">
      <c r="A8" s="3" t="s">
        <v>120</v>
      </c>
      <c r="B8" s="3" t="s">
        <v>121</v>
      </c>
      <c r="C8" s="3" t="s">
        <v>113</v>
      </c>
      <c r="D8" s="3">
        <v>1</v>
      </c>
      <c r="E8" s="6">
        <v>3200000</v>
      </c>
      <c r="F8" s="6">
        <v>1500000</v>
      </c>
      <c r="G8" s="6">
        <v>610000</v>
      </c>
      <c r="H8" s="6">
        <v>4090000</v>
      </c>
    </row>
    <row r="9" spans="1:8" x14ac:dyDescent="0.3">
      <c r="A9" s="3" t="s">
        <v>122</v>
      </c>
      <c r="B9" s="3" t="s">
        <v>121</v>
      </c>
      <c r="C9" s="3" t="s">
        <v>115</v>
      </c>
      <c r="D9" s="3">
        <v>2</v>
      </c>
      <c r="E9" s="6">
        <v>2440000</v>
      </c>
      <c r="F9" s="6">
        <v>1350000</v>
      </c>
      <c r="G9" s="6">
        <v>490000</v>
      </c>
      <c r="H9" s="6">
        <v>3300000</v>
      </c>
    </row>
    <row r="10" spans="1:8" x14ac:dyDescent="0.3">
      <c r="A10" s="3" t="s">
        <v>123</v>
      </c>
      <c r="B10" s="3" t="s">
        <v>121</v>
      </c>
      <c r="C10" s="3" t="s">
        <v>117</v>
      </c>
      <c r="D10" s="3">
        <v>4</v>
      </c>
      <c r="E10" s="6">
        <v>2200000</v>
      </c>
      <c r="F10" s="6">
        <v>1200000</v>
      </c>
      <c r="G10" s="6">
        <v>440000</v>
      </c>
      <c r="H10" s="6">
        <v>2960000</v>
      </c>
    </row>
    <row r="11" spans="1:8" x14ac:dyDescent="0.3">
      <c r="A11" s="3" t="s">
        <v>124</v>
      </c>
      <c r="B11" s="3" t="s">
        <v>121</v>
      </c>
      <c r="C11" s="3" t="s">
        <v>119</v>
      </c>
      <c r="D11" s="3">
        <v>2</v>
      </c>
      <c r="E11" s="6">
        <v>1850000</v>
      </c>
      <c r="F11" s="6">
        <v>900000</v>
      </c>
      <c r="G11" s="6">
        <v>360000</v>
      </c>
      <c r="H11" s="6">
        <v>2390000</v>
      </c>
    </row>
    <row r="12" spans="1:8" x14ac:dyDescent="0.3">
      <c r="A12" s="3" t="s">
        <v>125</v>
      </c>
      <c r="B12" s="3" t="s">
        <v>126</v>
      </c>
      <c r="C12" s="3" t="s">
        <v>113</v>
      </c>
      <c r="D12" s="3">
        <v>4</v>
      </c>
      <c r="E12" s="6">
        <v>3700000</v>
      </c>
      <c r="F12" s="6">
        <v>1500000</v>
      </c>
      <c r="G12" s="6">
        <v>680000</v>
      </c>
      <c r="H12" s="6">
        <v>4520000</v>
      </c>
    </row>
    <row r="13" spans="1:8" x14ac:dyDescent="0.3">
      <c r="A13" s="3" t="s">
        <v>127</v>
      </c>
      <c r="B13" s="3" t="s">
        <v>126</v>
      </c>
      <c r="C13" s="3" t="s">
        <v>115</v>
      </c>
      <c r="D13" s="3">
        <v>4</v>
      </c>
      <c r="E13" s="6">
        <v>2880000</v>
      </c>
      <c r="F13" s="6">
        <v>1350000</v>
      </c>
      <c r="G13" s="6">
        <v>550000</v>
      </c>
      <c r="H13" s="6">
        <v>3680000</v>
      </c>
    </row>
    <row r="14" spans="1:8" x14ac:dyDescent="0.3">
      <c r="A14" s="3" t="s">
        <v>128</v>
      </c>
      <c r="B14" s="3" t="s">
        <v>126</v>
      </c>
      <c r="C14" s="3" t="s">
        <v>117</v>
      </c>
      <c r="D14" s="3">
        <v>3</v>
      </c>
      <c r="E14" s="6">
        <v>2100000</v>
      </c>
      <c r="F14" s="6">
        <v>1200000</v>
      </c>
      <c r="G14" s="6">
        <v>430000</v>
      </c>
      <c r="H14" s="6">
        <v>2870000</v>
      </c>
    </row>
    <row r="15" spans="1:8" x14ac:dyDescent="0.3">
      <c r="A15" s="3" t="s">
        <v>129</v>
      </c>
      <c r="B15" s="3" t="s">
        <v>126</v>
      </c>
      <c r="C15" s="3" t="s">
        <v>119</v>
      </c>
      <c r="D15" s="3">
        <v>1</v>
      </c>
      <c r="E15" s="6">
        <v>1800000</v>
      </c>
      <c r="F15" s="6">
        <v>800000</v>
      </c>
      <c r="G15" s="6">
        <v>340000</v>
      </c>
      <c r="H15" s="6">
        <v>2260000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"/>
  <sheetViews>
    <sheetView workbookViewId="0">
      <selection activeCell="O14" sqref="O14"/>
    </sheetView>
  </sheetViews>
  <sheetFormatPr defaultRowHeight="16.5" x14ac:dyDescent="0.3"/>
  <cols>
    <col min="3" max="5" width="10.875" bestFit="1" customWidth="1"/>
    <col min="6" max="7" width="14.625" bestFit="1" customWidth="1"/>
  </cols>
  <sheetData>
    <row r="1" spans="1:7" ht="20.25" x14ac:dyDescent="0.3">
      <c r="A1" s="20" t="s">
        <v>214</v>
      </c>
      <c r="B1" s="20"/>
      <c r="C1" s="20"/>
      <c r="D1" s="20"/>
      <c r="E1" s="20"/>
      <c r="F1" s="20"/>
      <c r="G1" s="20"/>
    </row>
    <row r="3" spans="1:7" x14ac:dyDescent="0.3">
      <c r="A3" s="26" t="s">
        <v>215</v>
      </c>
      <c r="B3" s="26" t="s">
        <v>216</v>
      </c>
      <c r="C3" s="26" t="s">
        <v>217</v>
      </c>
      <c r="D3" s="26"/>
      <c r="E3" s="26"/>
      <c r="F3" s="26" t="s">
        <v>218</v>
      </c>
      <c r="G3" s="26" t="s">
        <v>219</v>
      </c>
    </row>
    <row r="4" spans="1:7" x14ac:dyDescent="0.3">
      <c r="A4" s="26"/>
      <c r="B4" s="26"/>
      <c r="C4" s="3" t="s">
        <v>220</v>
      </c>
      <c r="D4" s="3" t="s">
        <v>221</v>
      </c>
      <c r="E4" s="3" t="s">
        <v>222</v>
      </c>
      <c r="F4" s="26"/>
      <c r="G4" s="26"/>
    </row>
    <row r="5" spans="1:7" x14ac:dyDescent="0.3">
      <c r="A5" s="3" t="s">
        <v>223</v>
      </c>
      <c r="B5" s="6">
        <v>600</v>
      </c>
      <c r="C5" s="6">
        <v>165232</v>
      </c>
      <c r="D5" s="6">
        <v>190017</v>
      </c>
      <c r="E5" s="6">
        <v>183419</v>
      </c>
      <c r="F5" s="6">
        <f>B5*(C5+D5+E5)</f>
        <v>323200800</v>
      </c>
      <c r="G5" s="6">
        <f>F5*$B$17</f>
        <v>96960240</v>
      </c>
    </row>
    <row r="6" spans="1:7" x14ac:dyDescent="0.3">
      <c r="A6" s="3" t="s">
        <v>224</v>
      </c>
      <c r="B6" s="6">
        <v>500</v>
      </c>
      <c r="C6" s="6">
        <v>241773</v>
      </c>
      <c r="D6" s="6">
        <v>278039</v>
      </c>
      <c r="E6" s="6">
        <v>325306</v>
      </c>
      <c r="F6" s="6">
        <f t="shared" ref="F6:F14" si="0">B6*(C6+D6+E6)</f>
        <v>422559000</v>
      </c>
      <c r="G6" s="6">
        <f t="shared" ref="G6:G14" si="1">F6*$B$17</f>
        <v>126767700</v>
      </c>
    </row>
    <row r="7" spans="1:7" x14ac:dyDescent="0.3">
      <c r="A7" s="3" t="s">
        <v>225</v>
      </c>
      <c r="B7" s="6">
        <v>1000</v>
      </c>
      <c r="C7" s="6">
        <v>192741</v>
      </c>
      <c r="D7" s="6">
        <v>183414</v>
      </c>
      <c r="E7" s="6">
        <v>214591</v>
      </c>
      <c r="F7" s="6">
        <f t="shared" si="0"/>
        <v>590746000</v>
      </c>
      <c r="G7" s="6">
        <f t="shared" si="1"/>
        <v>177223800</v>
      </c>
    </row>
    <row r="8" spans="1:7" x14ac:dyDescent="0.3">
      <c r="A8" s="3" t="s">
        <v>226</v>
      </c>
      <c r="B8" s="6">
        <v>500</v>
      </c>
      <c r="C8" s="6">
        <v>295604</v>
      </c>
      <c r="D8" s="6">
        <v>339945</v>
      </c>
      <c r="E8" s="6">
        <v>315213</v>
      </c>
      <c r="F8" s="6">
        <f t="shared" si="0"/>
        <v>475381000</v>
      </c>
      <c r="G8" s="6">
        <f t="shared" si="1"/>
        <v>142614300</v>
      </c>
    </row>
    <row r="9" spans="1:7" x14ac:dyDescent="0.3">
      <c r="A9" s="3" t="s">
        <v>227</v>
      </c>
      <c r="B9" s="6">
        <v>700</v>
      </c>
      <c r="C9" s="6">
        <v>243925</v>
      </c>
      <c r="D9" s="6">
        <v>201453</v>
      </c>
      <c r="E9" s="6">
        <v>235705</v>
      </c>
      <c r="F9" s="6">
        <f t="shared" si="0"/>
        <v>476758100</v>
      </c>
      <c r="G9" s="6">
        <f t="shared" si="1"/>
        <v>143027430</v>
      </c>
    </row>
    <row r="10" spans="1:7" x14ac:dyDescent="0.3">
      <c r="A10" s="3" t="s">
        <v>228</v>
      </c>
      <c r="B10" s="6">
        <v>600</v>
      </c>
      <c r="C10" s="6">
        <v>193849</v>
      </c>
      <c r="D10" s="6">
        <v>188321</v>
      </c>
      <c r="E10" s="6">
        <v>220336</v>
      </c>
      <c r="F10" s="6">
        <f t="shared" si="0"/>
        <v>361503600</v>
      </c>
      <c r="G10" s="6">
        <f t="shared" si="1"/>
        <v>108451080</v>
      </c>
    </row>
    <row r="11" spans="1:7" x14ac:dyDescent="0.3">
      <c r="A11" s="3" t="s">
        <v>229</v>
      </c>
      <c r="B11" s="6">
        <v>500</v>
      </c>
      <c r="C11" s="6">
        <v>324151</v>
      </c>
      <c r="D11" s="6">
        <v>301765</v>
      </c>
      <c r="E11" s="6">
        <v>334131</v>
      </c>
      <c r="F11" s="6">
        <f t="shared" si="0"/>
        <v>480023500</v>
      </c>
      <c r="G11" s="6">
        <f t="shared" si="1"/>
        <v>144007050</v>
      </c>
    </row>
    <row r="12" spans="1:7" x14ac:dyDescent="0.3">
      <c r="A12" s="3" t="s">
        <v>230</v>
      </c>
      <c r="B12" s="6">
        <v>500</v>
      </c>
      <c r="C12" s="6">
        <v>157232</v>
      </c>
      <c r="D12" s="6">
        <v>180817</v>
      </c>
      <c r="E12" s="6">
        <v>211556</v>
      </c>
      <c r="F12" s="6">
        <f t="shared" si="0"/>
        <v>274802500</v>
      </c>
      <c r="G12" s="6">
        <f t="shared" si="1"/>
        <v>82440750</v>
      </c>
    </row>
    <row r="13" spans="1:7" x14ac:dyDescent="0.3">
      <c r="A13" s="3" t="s">
        <v>231</v>
      </c>
      <c r="B13" s="6">
        <v>600</v>
      </c>
      <c r="C13" s="6">
        <v>201476</v>
      </c>
      <c r="D13" s="6">
        <v>231697</v>
      </c>
      <c r="E13" s="6">
        <v>223549</v>
      </c>
      <c r="F13" s="6">
        <f t="shared" si="0"/>
        <v>394033200</v>
      </c>
      <c r="G13" s="6">
        <f t="shared" si="1"/>
        <v>118209960</v>
      </c>
    </row>
    <row r="14" spans="1:7" x14ac:dyDescent="0.3">
      <c r="A14" s="3" t="s">
        <v>232</v>
      </c>
      <c r="B14" s="6">
        <v>600</v>
      </c>
      <c r="C14" s="6">
        <v>322905</v>
      </c>
      <c r="D14" s="6">
        <v>371341</v>
      </c>
      <c r="E14" s="6">
        <v>357613</v>
      </c>
      <c r="F14" s="6">
        <f t="shared" si="0"/>
        <v>631115400</v>
      </c>
      <c r="G14" s="6">
        <f t="shared" si="1"/>
        <v>189334620</v>
      </c>
    </row>
    <row r="15" spans="1:7" x14ac:dyDescent="0.3">
      <c r="A15" s="24" t="s">
        <v>233</v>
      </c>
      <c r="B15" s="25"/>
      <c r="C15" s="5">
        <f>SUM(C5:C14)</f>
        <v>2338888</v>
      </c>
      <c r="D15" s="5">
        <f t="shared" ref="D15:G15" si="2">SUM(D5:D14)</f>
        <v>2466809</v>
      </c>
      <c r="E15" s="5">
        <f t="shared" si="2"/>
        <v>2621419</v>
      </c>
      <c r="F15" s="5">
        <f t="shared" si="2"/>
        <v>4430123100</v>
      </c>
      <c r="G15" s="5">
        <f t="shared" si="2"/>
        <v>1329036930</v>
      </c>
    </row>
    <row r="17" spans="1:2" x14ac:dyDescent="0.3">
      <c r="A17" s="4" t="s">
        <v>234</v>
      </c>
      <c r="B17" s="18">
        <v>0.3</v>
      </c>
    </row>
  </sheetData>
  <mergeCells count="7">
    <mergeCell ref="A15:B15"/>
    <mergeCell ref="A1:G1"/>
    <mergeCell ref="A3:A4"/>
    <mergeCell ref="B3:B4"/>
    <mergeCell ref="C3:E3"/>
    <mergeCell ref="F3:F4"/>
    <mergeCell ref="G3:G4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>
      <selection activeCell="O20" sqref="O20"/>
    </sheetView>
  </sheetViews>
  <sheetFormatPr defaultRowHeight="16.5" x14ac:dyDescent="0.3"/>
  <cols>
    <col min="2" max="7" width="6.625" customWidth="1"/>
  </cols>
  <sheetData>
    <row r="1" spans="1:8" ht="20.25" x14ac:dyDescent="0.3">
      <c r="A1" s="20" t="s">
        <v>235</v>
      </c>
      <c r="B1" s="20"/>
      <c r="C1" s="20"/>
      <c r="D1" s="20"/>
      <c r="E1" s="20"/>
      <c r="F1" s="20"/>
      <c r="G1" s="20"/>
      <c r="H1" s="20"/>
    </row>
    <row r="3" spans="1:8" x14ac:dyDescent="0.3">
      <c r="A3" s="19" t="s">
        <v>236</v>
      </c>
      <c r="B3" s="19" t="s">
        <v>237</v>
      </c>
      <c r="C3" s="19" t="s">
        <v>238</v>
      </c>
      <c r="D3" s="19" t="s">
        <v>239</v>
      </c>
      <c r="E3" s="19" t="s">
        <v>240</v>
      </c>
      <c r="F3" s="19" t="s">
        <v>241</v>
      </c>
      <c r="G3" s="19" t="s">
        <v>242</v>
      </c>
      <c r="H3" s="19" t="s">
        <v>243</v>
      </c>
    </row>
    <row r="4" spans="1:8" x14ac:dyDescent="0.3">
      <c r="A4" s="19" t="s">
        <v>244</v>
      </c>
      <c r="B4" s="19">
        <v>51</v>
      </c>
      <c r="C4" s="19">
        <v>37</v>
      </c>
      <c r="D4" s="19">
        <v>33</v>
      </c>
      <c r="E4" s="19">
        <v>35</v>
      </c>
      <c r="F4" s="19">
        <v>38</v>
      </c>
      <c r="G4" s="19">
        <v>46</v>
      </c>
      <c r="H4" s="19"/>
    </row>
    <row r="5" spans="1:8" x14ac:dyDescent="0.3">
      <c r="A5" s="19" t="s">
        <v>245</v>
      </c>
      <c r="B5" s="19">
        <v>48</v>
      </c>
      <c r="C5" s="19">
        <v>38</v>
      </c>
      <c r="D5" s="19">
        <v>40</v>
      </c>
      <c r="E5" s="19">
        <v>35</v>
      </c>
      <c r="F5" s="19">
        <v>36</v>
      </c>
      <c r="G5" s="19">
        <v>34</v>
      </c>
      <c r="H5" s="19"/>
    </row>
    <row r="6" spans="1:8" x14ac:dyDescent="0.3">
      <c r="A6" s="19" t="s">
        <v>246</v>
      </c>
      <c r="B6" s="19">
        <v>53</v>
      </c>
      <c r="C6" s="19">
        <v>50</v>
      </c>
      <c r="D6" s="19">
        <v>46</v>
      </c>
      <c r="E6" s="19">
        <v>37</v>
      </c>
      <c r="F6" s="19">
        <v>42</v>
      </c>
      <c r="G6" s="19">
        <v>41</v>
      </c>
      <c r="H6" s="19"/>
    </row>
    <row r="7" spans="1:8" x14ac:dyDescent="0.3">
      <c r="A7" s="19" t="s">
        <v>247</v>
      </c>
      <c r="B7" s="19">
        <v>32</v>
      </c>
      <c r="C7" s="19">
        <v>26</v>
      </c>
      <c r="D7" s="19">
        <v>25</v>
      </c>
      <c r="E7" s="19">
        <v>22</v>
      </c>
      <c r="F7" s="19">
        <v>19</v>
      </c>
      <c r="G7" s="19">
        <v>22</v>
      </c>
      <c r="H7" s="19"/>
    </row>
    <row r="8" spans="1:8" x14ac:dyDescent="0.3">
      <c r="A8" s="19" t="s">
        <v>248</v>
      </c>
      <c r="B8" s="19">
        <v>63</v>
      </c>
      <c r="C8" s="19">
        <v>56</v>
      </c>
      <c r="D8" s="19">
        <v>60</v>
      </c>
      <c r="E8" s="19">
        <v>45</v>
      </c>
      <c r="F8" s="19">
        <v>51</v>
      </c>
      <c r="G8" s="19">
        <v>55</v>
      </c>
      <c r="H8" s="19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P29" sqref="P29"/>
    </sheetView>
  </sheetViews>
  <sheetFormatPr defaultRowHeight="16.5" x14ac:dyDescent="0.3"/>
  <cols>
    <col min="2" max="5" width="10.625" bestFit="1" customWidth="1"/>
  </cols>
  <sheetData>
    <row r="1" spans="1:5" ht="20.25" x14ac:dyDescent="0.3">
      <c r="A1" s="20" t="s">
        <v>249</v>
      </c>
      <c r="B1" s="20"/>
      <c r="C1" s="20"/>
      <c r="D1" s="20"/>
      <c r="E1" s="20"/>
    </row>
    <row r="3" spans="1:5" x14ac:dyDescent="0.3">
      <c r="A3" s="3" t="s">
        <v>250</v>
      </c>
      <c r="B3" s="3" t="s">
        <v>251</v>
      </c>
      <c r="C3" s="3" t="s">
        <v>252</v>
      </c>
      <c r="D3" s="3" t="s">
        <v>253</v>
      </c>
      <c r="E3" s="3" t="s">
        <v>254</v>
      </c>
    </row>
    <row r="4" spans="1:5" x14ac:dyDescent="0.3">
      <c r="A4" s="3" t="s">
        <v>255</v>
      </c>
      <c r="B4" s="16">
        <v>2850000</v>
      </c>
      <c r="C4" s="16">
        <v>3756800</v>
      </c>
      <c r="D4" s="16">
        <v>3845780</v>
      </c>
      <c r="E4" s="16">
        <v>3545800</v>
      </c>
    </row>
    <row r="5" spans="1:5" x14ac:dyDescent="0.3">
      <c r="A5" s="3" t="s">
        <v>256</v>
      </c>
      <c r="B5" s="16">
        <v>3654500</v>
      </c>
      <c r="C5" s="16">
        <v>2880570</v>
      </c>
      <c r="D5" s="16">
        <v>4581250</v>
      </c>
      <c r="E5" s="16">
        <v>2812540</v>
      </c>
    </row>
    <row r="6" spans="1:5" x14ac:dyDescent="0.3">
      <c r="A6" s="3" t="s">
        <v>257</v>
      </c>
      <c r="B6" s="16">
        <v>3108400</v>
      </c>
      <c r="C6" s="16">
        <v>3945000</v>
      </c>
      <c r="D6" s="16">
        <v>4215700</v>
      </c>
      <c r="E6" s="16">
        <v>4063100</v>
      </c>
    </row>
    <row r="7" spans="1:5" x14ac:dyDescent="0.3">
      <c r="A7" s="3" t="s">
        <v>258</v>
      </c>
      <c r="B7" s="16">
        <v>3422300</v>
      </c>
      <c r="C7" s="16">
        <v>4508160</v>
      </c>
      <c r="D7" s="16">
        <v>4614936</v>
      </c>
      <c r="E7" s="16">
        <v>4133000</v>
      </c>
    </row>
    <row r="8" spans="1:5" x14ac:dyDescent="0.3">
      <c r="A8" s="3" t="s">
        <v>259</v>
      </c>
      <c r="B8" s="16">
        <v>3289000</v>
      </c>
      <c r="C8" s="16">
        <v>2592500</v>
      </c>
      <c r="D8" s="16">
        <v>4123100</v>
      </c>
      <c r="E8" s="16">
        <v>3531200</v>
      </c>
    </row>
    <row r="9" spans="1:5" x14ac:dyDescent="0.3">
      <c r="A9" s="3" t="s">
        <v>260</v>
      </c>
      <c r="B9" s="16">
        <v>3488400</v>
      </c>
      <c r="C9" s="16">
        <v>4598300</v>
      </c>
      <c r="D9" s="16">
        <v>4307200</v>
      </c>
      <c r="E9" s="16">
        <v>3707200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사용자</cp:lastModifiedBy>
  <dcterms:created xsi:type="dcterms:W3CDTF">2019-03-21T06:11:33Z</dcterms:created>
  <dcterms:modified xsi:type="dcterms:W3CDTF">2023-07-21T06:47:19Z</dcterms:modified>
</cp:coreProperties>
</file>