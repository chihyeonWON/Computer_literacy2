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2B8B0751-35CF-4D52-BAD5-FB2A8285537D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기본작업-1" sheetId="4" r:id="rId1"/>
    <sheet name="기본작업-2" sheetId="10" r:id="rId2"/>
    <sheet name="계산작업" sheetId="9" r:id="rId3"/>
    <sheet name="분석작업-1" sheetId="6" r:id="rId4"/>
    <sheet name="분석작업-2" sheetId="1" r:id="rId5"/>
    <sheet name="기타작업-1" sheetId="2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'기본작업-1'!$B$2:$N$28</definedName>
    <definedName name="_xlnm._FilterDatabase" localSheetId="1" hidden="1">'기본작업-2'!$B$2:$N$28</definedName>
    <definedName name="_xlnm._FilterDatabase" localSheetId="4" hidden="1">'분석작업-2'!$B$2:$J$28</definedName>
    <definedName name="_xlnm.Criteria" localSheetId="0">'기본작업-1'!$B$30:$B$31</definedName>
    <definedName name="_xlnm.Criteria" localSheetId="1">'기본작업-2'!#REF!</definedName>
    <definedName name="_xlnm.Extract" localSheetId="0">'기본작업-1'!$B$33:$N$33</definedName>
    <definedName name="_xlnm.Extract" localSheetId="1">'기본작업-2'!#REF!</definedName>
    <definedName name="_xlnm.Print_Area" localSheetId="0">'기본작업-1'!$L$2:$N$28</definedName>
    <definedName name="_xlnm.Print_Area" localSheetId="1">'기본작업-2'!$B$2:$K$28</definedName>
  </definedNames>
  <calcPr calcId="191029"/>
  <pivotCaches>
    <pivotCache cacheId="36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요양관리" name="요양관리" connection="요양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7" i="9" l="1"/>
  <c r="F48" i="9"/>
  <c r="F49" i="9"/>
  <c r="F50" i="9"/>
  <c r="F51" i="9"/>
  <c r="F52" i="9"/>
  <c r="F53" i="9"/>
  <c r="F54" i="9"/>
  <c r="F55" i="9"/>
  <c r="F46" i="9"/>
  <c r="D38" i="9" a="1"/>
  <c r="D38" i="9" s="1"/>
  <c r="E38" i="9" a="1"/>
  <c r="E38" i="9" s="1"/>
  <c r="F38" i="9" a="1"/>
  <c r="F38" i="9"/>
  <c r="D39" i="9" a="1"/>
  <c r="D39" i="9" s="1"/>
  <c r="E39" i="9" a="1"/>
  <c r="E39" i="9" s="1"/>
  <c r="F39" i="9" a="1"/>
  <c r="F39" i="9" s="1"/>
  <c r="D40" i="9" a="1"/>
  <c r="D40" i="9"/>
  <c r="E40" i="9" a="1"/>
  <c r="E40" i="9" s="1"/>
  <c r="F40" i="9" a="1"/>
  <c r="F40" i="9" s="1"/>
  <c r="D41" i="9" a="1"/>
  <c r="D41" i="9" s="1"/>
  <c r="E41" i="9" a="1"/>
  <c r="E41" i="9" s="1"/>
  <c r="F41" i="9" a="1"/>
  <c r="F41" i="9" s="1"/>
  <c r="D42" i="9" a="1"/>
  <c r="D42" i="9" s="1"/>
  <c r="E42" i="9" a="1"/>
  <c r="E42" i="9" s="1"/>
  <c r="F42" i="9" a="1"/>
  <c r="F42" i="9"/>
  <c r="C39" i="9" a="1"/>
  <c r="C39" i="9" s="1"/>
  <c r="C40" i="9" a="1"/>
  <c r="C40" i="9" s="1"/>
  <c r="C41" i="9" a="1"/>
  <c r="C41" i="9" s="1"/>
  <c r="C42" i="9" a="1"/>
  <c r="C42" i="9" s="1"/>
  <c r="C38" i="9" a="1"/>
  <c r="C38" i="9" s="1"/>
  <c r="J39" i="9" a="1"/>
  <c r="J39" i="9" s="1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4" i="9"/>
  <c r="B31" i="4"/>
  <c r="E4" i="2"/>
  <c r="E5" i="2"/>
  <c r="E6" i="2"/>
  <c r="E7" i="2"/>
  <c r="E8" i="2"/>
  <c r="L4" i="9"/>
  <c r="L5" i="9"/>
  <c r="L6" i="9"/>
  <c r="L7" i="9"/>
  <c r="L8" i="9"/>
  <c r="L9" i="9"/>
  <c r="L10" i="9"/>
  <c r="L11" i="9"/>
  <c r="L12" i="9"/>
  <c r="L13" i="9"/>
  <c r="L14" i="9"/>
  <c r="L15" i="9"/>
  <c r="L17" i="9"/>
  <c r="L18" i="9"/>
  <c r="L19" i="9"/>
  <c r="L20" i="9"/>
  <c r="L22" i="9"/>
  <c r="L23" i="9"/>
  <c r="L24" i="9"/>
  <c r="L25" i="9"/>
  <c r="L26" i="9"/>
  <c r="L21" i="9"/>
  <c r="L27" i="9"/>
  <c r="L28" i="9"/>
  <c r="L29" i="9"/>
  <c r="O6" i="9" a="1"/>
  <c r="O10" i="9" a="1"/>
  <c r="O18" i="9" a="1"/>
  <c r="O7" i="9" a="1"/>
  <c r="O11" i="9" a="1"/>
  <c r="O15" i="9" a="1"/>
  <c r="O19" i="9" a="1"/>
  <c r="O23" i="9" a="1"/>
  <c r="O27" i="9" a="1"/>
  <c r="O5" i="9" a="1"/>
  <c r="O21" i="9" a="1"/>
  <c r="O29" i="9" a="1"/>
  <c r="O22" i="9" a="1"/>
  <c r="O12" i="9" a="1"/>
  <c r="O24" i="9" a="1"/>
  <c r="O9" i="9" a="1"/>
  <c r="O17" i="9" a="1"/>
  <c r="O26" i="9" a="1"/>
  <c r="O8" i="9" a="1"/>
  <c r="O16" i="9" a="1"/>
  <c r="O20" i="9" a="1"/>
  <c r="O28" i="9" a="1"/>
  <c r="O13" i="9" a="1"/>
  <c r="O25" i="9" a="1"/>
  <c r="O14" i="9" a="1"/>
  <c r="O4" i="9" a="1"/>
  <c r="O14" i="9" l="1"/>
  <c r="O25" i="9"/>
  <c r="O13" i="9"/>
  <c r="O28" i="9"/>
  <c r="O20" i="9"/>
  <c r="O16" i="9"/>
  <c r="O8" i="9"/>
  <c r="O26" i="9"/>
  <c r="O17" i="9"/>
  <c r="O9" i="9"/>
  <c r="O24" i="9"/>
  <c r="O12" i="9"/>
  <c r="O22" i="9"/>
  <c r="O29" i="9"/>
  <c r="O21" i="9"/>
  <c r="O5" i="9"/>
  <c r="O27" i="9"/>
  <c r="O23" i="9"/>
  <c r="O19" i="9"/>
  <c r="O15" i="9"/>
  <c r="O11" i="9"/>
  <c r="O7" i="9"/>
  <c r="O18" i="9"/>
  <c r="O10" i="9"/>
  <c r="O6" i="9"/>
  <c r="O4" i="9"/>
  <c r="E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9D472E-F386-46E9-BBD6-0A351961E789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88C0CDB-C582-4F42-8873-EE9BE328C8A7}" name="요양관리" type="103" refreshedVersion="8" minRefreshableVersion="5">
    <extLst>
      <ext xmlns:x15="http://schemas.microsoft.com/office/spreadsheetml/2010/11/main" uri="{DE250136-89BD-433C-8126-D09CA5730AF9}">
        <x15:connection id="요양관리" autoDelete="1">
          <x15:textPr prompt="0" codePage="949" sourceFile="C:\OA\요양관리.csv" tab="0" comma="1">
            <textFields count="7">
              <textField type="skip"/>
              <textField type="skip"/>
              <textField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<sst xmlns="http://schemas.openxmlformats.org/spreadsheetml/2006/main" count="958" uniqueCount="152">
  <si>
    <t>일반</t>
    <phoneticPr fontId="1" type="noConversion"/>
  </si>
  <si>
    <t>환자번호</t>
    <phoneticPr fontId="1" type="noConversion"/>
  </si>
  <si>
    <t>이름</t>
    <phoneticPr fontId="1" type="noConversion"/>
  </si>
  <si>
    <t>성별</t>
    <phoneticPr fontId="1" type="noConversion"/>
  </si>
  <si>
    <t>나이</t>
    <phoneticPr fontId="1" type="noConversion"/>
  </si>
  <si>
    <t>수급자등급</t>
    <phoneticPr fontId="1" type="noConversion"/>
  </si>
  <si>
    <t>수급자유형</t>
    <phoneticPr fontId="1" type="noConversion"/>
  </si>
  <si>
    <t>서비스명</t>
    <phoneticPr fontId="1" type="noConversion"/>
  </si>
  <si>
    <t>이용일수</t>
    <phoneticPr fontId="1" type="noConversion"/>
  </si>
  <si>
    <t>이용시간</t>
    <phoneticPr fontId="1" type="noConversion"/>
  </si>
  <si>
    <t>이용일구분</t>
    <phoneticPr fontId="1" type="noConversion"/>
  </si>
  <si>
    <t>급여비용</t>
    <phoneticPr fontId="1" type="noConversion"/>
  </si>
  <si>
    <t>공단부담금</t>
    <phoneticPr fontId="1" type="noConversion"/>
  </si>
  <si>
    <t>본인부담금</t>
    <phoneticPr fontId="1" type="noConversion"/>
  </si>
  <si>
    <t>기타</t>
    <phoneticPr fontId="1" type="noConversion"/>
  </si>
  <si>
    <t>방문요양</t>
    <phoneticPr fontId="1" type="noConversion"/>
  </si>
  <si>
    <t>평일</t>
    <phoneticPr fontId="1" type="noConversion"/>
  </si>
  <si>
    <t>방문목욕</t>
    <phoneticPr fontId="1" type="noConversion"/>
  </si>
  <si>
    <t>심야</t>
    <phoneticPr fontId="1" type="noConversion"/>
  </si>
  <si>
    <t>기초생활</t>
    <phoneticPr fontId="1" type="noConversion"/>
  </si>
  <si>
    <t>방문간호</t>
    <phoneticPr fontId="1" type="noConversion"/>
  </si>
  <si>
    <t>휴일</t>
    <phoneticPr fontId="1" type="noConversion"/>
  </si>
  <si>
    <t>단기보호</t>
    <phoneticPr fontId="1" type="noConversion"/>
  </si>
  <si>
    <t>등급</t>
    <phoneticPr fontId="1" type="noConversion"/>
  </si>
  <si>
    <t>전문요양병원</t>
    <phoneticPr fontId="1" type="noConversion"/>
  </si>
  <si>
    <t>노인요양병원</t>
    <phoneticPr fontId="1" type="noConversion"/>
  </si>
  <si>
    <t>공동생활가정</t>
    <phoneticPr fontId="1" type="noConversion"/>
  </si>
  <si>
    <t>월한도액</t>
    <phoneticPr fontId="1" type="noConversion"/>
  </si>
  <si>
    <t>수급자유형</t>
    <phoneticPr fontId="1" type="noConversion"/>
  </si>
  <si>
    <t>빈도수</t>
    <phoneticPr fontId="1" type="noConversion"/>
  </si>
  <si>
    <t>보호시설</t>
    <phoneticPr fontId="1" type="noConversion"/>
  </si>
  <si>
    <t>급여</t>
    <phoneticPr fontId="1" type="noConversion"/>
  </si>
  <si>
    <t>[표2] 월한도액</t>
    <phoneticPr fontId="1" type="noConversion"/>
  </si>
  <si>
    <t>[표4] 일당</t>
    <phoneticPr fontId="1" type="noConversion"/>
  </si>
  <si>
    <t>[표3] 본인부담비율</t>
    <phoneticPr fontId="1" type="noConversion"/>
  </si>
  <si>
    <t>본인부담비율</t>
    <phoneticPr fontId="1" type="noConversion"/>
  </si>
  <si>
    <t>[표1]</t>
    <phoneticPr fontId="1" type="noConversion"/>
  </si>
  <si>
    <t>연도</t>
    <phoneticPr fontId="1" type="noConversion"/>
  </si>
  <si>
    <t>노인인구수</t>
    <phoneticPr fontId="1" type="noConversion"/>
  </si>
  <si>
    <t>수급자수</t>
    <phoneticPr fontId="1" type="noConversion"/>
  </si>
  <si>
    <t>수급율</t>
    <phoneticPr fontId="1" type="noConversion"/>
  </si>
  <si>
    <t>[표1] 서비스 예약 현황</t>
    <phoneticPr fontId="1" type="noConversion"/>
  </si>
  <si>
    <t>송준석</t>
  </si>
  <si>
    <t>김지민</t>
  </si>
  <si>
    <t>남호진</t>
  </si>
  <si>
    <t>양순호</t>
  </si>
  <si>
    <t>은수저</t>
  </si>
  <si>
    <t>이수상</t>
  </si>
  <si>
    <t>윤철수</t>
  </si>
  <si>
    <t>김장철</t>
  </si>
  <si>
    <t>고인숙</t>
    <phoneticPr fontId="1" type="noConversion"/>
  </si>
  <si>
    <t>나진만</t>
  </si>
  <si>
    <t>이다음</t>
  </si>
  <si>
    <t>도우미</t>
  </si>
  <si>
    <t>조용희</t>
    <phoneticPr fontId="1" type="noConversion"/>
  </si>
  <si>
    <t>이영심</t>
    <phoneticPr fontId="1" type="noConversion"/>
  </si>
  <si>
    <t>차주인</t>
  </si>
  <si>
    <t>임보미</t>
    <phoneticPr fontId="1" type="noConversion"/>
  </si>
  <si>
    <t>박소희</t>
  </si>
  <si>
    <t>은종서</t>
  </si>
  <si>
    <t>김미향</t>
  </si>
  <si>
    <t>우태영</t>
  </si>
  <si>
    <t>강다구</t>
  </si>
  <si>
    <t>사미인</t>
  </si>
  <si>
    <t>왕건이</t>
  </si>
  <si>
    <t>안태호</t>
  </si>
  <si>
    <t>홍태완</t>
  </si>
  <si>
    <t>황국영</t>
  </si>
  <si>
    <t>남</t>
  </si>
  <si>
    <t>남</t>
    <phoneticPr fontId="1" type="noConversion"/>
  </si>
  <si>
    <t>여</t>
  </si>
  <si>
    <t>여</t>
    <phoneticPr fontId="1" type="noConversion"/>
  </si>
  <si>
    <t>A8952</t>
  </si>
  <si>
    <t>B6891</t>
  </si>
  <si>
    <t>A3717</t>
  </si>
  <si>
    <t>C8576</t>
  </si>
  <si>
    <t>D4273</t>
  </si>
  <si>
    <t>A9679</t>
  </si>
  <si>
    <t>D7978</t>
  </si>
  <si>
    <t>C5822</t>
  </si>
  <si>
    <t>D3886</t>
  </si>
  <si>
    <t>A8240</t>
  </si>
  <si>
    <t>D1787</t>
  </si>
  <si>
    <t>A1495</t>
  </si>
  <si>
    <t>D1971</t>
  </si>
  <si>
    <t>D4877</t>
  </si>
  <si>
    <t>A7371</t>
  </si>
  <si>
    <t>B7149</t>
  </si>
  <si>
    <t>C1749</t>
  </si>
  <si>
    <t>A9810</t>
  </si>
  <si>
    <t>C3897</t>
  </si>
  <si>
    <t>D1595</t>
  </si>
  <si>
    <t>A6220</t>
  </si>
  <si>
    <t>D6798</t>
  </si>
  <si>
    <t>A1899</t>
  </si>
  <si>
    <t>D6171</t>
  </si>
  <si>
    <t>C3852</t>
  </si>
  <si>
    <t>A5662</t>
  </si>
  <si>
    <t>평일</t>
  </si>
  <si>
    <t>휴일</t>
  </si>
  <si>
    <t>심야</t>
  </si>
  <si>
    <t>기타</t>
  </si>
  <si>
    <t>[표5] 수급자등급별 서비스명별 이용일수의 합</t>
    <phoneticPr fontId="1" type="noConversion"/>
  </si>
  <si>
    <t>[표6] 나이별 빈도수</t>
    <phoneticPr fontId="1" type="noConversion"/>
  </si>
  <si>
    <t>[표7]</t>
    <phoneticPr fontId="1" type="noConversion"/>
  </si>
  <si>
    <t>D347</t>
    <phoneticPr fontId="1" type="noConversion"/>
  </si>
  <si>
    <t>A7367</t>
    <phoneticPr fontId="1" type="noConversion"/>
  </si>
  <si>
    <t>B4549</t>
    <phoneticPr fontId="1" type="noConversion"/>
  </si>
  <si>
    <t>C8949</t>
    <phoneticPr fontId="1" type="noConversion"/>
  </si>
  <si>
    <t>A9670</t>
    <phoneticPr fontId="1" type="noConversion"/>
  </si>
  <si>
    <t>C4397</t>
    <phoneticPr fontId="1" type="noConversion"/>
  </si>
  <si>
    <t>A2345</t>
    <phoneticPr fontId="1" type="noConversion"/>
  </si>
  <si>
    <t>D3432</t>
    <phoneticPr fontId="1" type="noConversion"/>
  </si>
  <si>
    <t>C4572</t>
    <phoneticPr fontId="1" type="noConversion"/>
  </si>
  <si>
    <t>A3421</t>
    <phoneticPr fontId="1" type="noConversion"/>
  </si>
  <si>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</si>
  <si>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</si>
  <si>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</si>
  <si>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</si>
  <si>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</si>
  <si>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</si>
  <si>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</si>
  <si>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</si>
  <si>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</si>
  <si>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이용일구분</t>
  </si>
  <si>
    <t>급여비용</t>
  </si>
  <si>
    <t>공단부담금</t>
  </si>
  <si>
    <t>본인부담금</t>
  </si>
  <si>
    <t>기초생활</t>
  </si>
  <si>
    <t>방문목욕</t>
  </si>
  <si>
    <t>일반</t>
  </si>
  <si>
    <t>이영심</t>
  </si>
  <si>
    <t>방문간호</t>
  </si>
  <si>
    <t>단기보호</t>
  </si>
  <si>
    <t>방문요양</t>
  </si>
  <si>
    <t>임보미</t>
  </si>
  <si>
    <t>조용희</t>
  </si>
  <si>
    <t>고인숙</t>
  </si>
  <si>
    <t>K0541</t>
  </si>
  <si>
    <t>홍길동</t>
  </si>
  <si>
    <t>여자</t>
  </si>
  <si>
    <t>S5125</t>
  </si>
  <si>
    <t>이양훈</t>
  </si>
  <si>
    <t>남자</t>
  </si>
  <si>
    <t>조건</t>
    <phoneticPr fontId="1" type="noConversion"/>
  </si>
  <si>
    <t>총합계</t>
  </si>
  <si>
    <t>전체 평균: 공단부담금</t>
  </si>
  <si>
    <t>평균: 공단부담금</t>
  </si>
  <si>
    <t>전체 평균: 본인부담금</t>
  </si>
  <si>
    <t>평균: 본인부담금</t>
  </si>
  <si>
    <t>값</t>
  </si>
  <si>
    <t>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</si>
</sst>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General&quot;등&quot;&quot;급&quot;"/>
    <numFmt numFmtId="177" formatCode="General&quot;세&quot;"/>
    <numFmt numFmtId="178" formatCode="General&quot;세~&quot;"/>
    <numFmt numFmtId="179" formatCode="#,##0_ "/>
    <numFmt numFmtId="180" formatCode="[Red][&gt;=50]&quot;★&quot;0;[Blue][&gt;=30]&quot;☆&quot;0;0;"/>
    <numFmt numFmtId="182" formatCode="[Red][&gt;=50]&quot;★&quot;* 0;[Blue][&gt;=30]&quot;☆&quot;* 0;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9" fontId="0" fillId="0" borderId="1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1" xfId="0" applyNumberFormat="1" applyBorder="1">
      <alignment vertical="center"/>
    </xf>
    <xf numFmtId="9" fontId="0" fillId="0" borderId="0" xfId="5" applyFont="1">
      <alignment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5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182" fontId="0" fillId="0" borderId="1" xfId="0" applyNumberFormat="1" applyBorder="1">
      <alignment vertical="center"/>
    </xf>
  </cellXfs>
  <cellStyles count="6">
    <cellStyle name="백분율" xfId="5" builtinId="5"/>
    <cellStyle name="쉼표 [0]" xfId="1" builtinId="6"/>
    <cellStyle name="쉼표 [0] 2" xfId="2" xr:uid="{00000000-0005-0000-0000-000002000000}"/>
    <cellStyle name="쉼표 [0] 3" xfId="4" xr:uid="{00000000-0005-0000-0000-000003000000}"/>
    <cellStyle name="표준" xfId="0" builtinId="0"/>
    <cellStyle name="표준 2" xfId="3" xr:uid="{00000000-0005-0000-0000-000005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노인  복지 현황</a:t>
            </a:r>
            <a:endParaRPr lang="ko-KR" altLang="en-US"/>
          </a:p>
        </c:rich>
      </c:tx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'기타작업-1'!$C$2</c:f>
              <c:strCache>
                <c:ptCount val="1"/>
                <c:pt idx="0">
                  <c:v>노인인구수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'기타작업-1'!$B$3:$B$8</c:f>
              <c:numCache>
                <c:formatCode>General</c:formatCode>
                <c:ptCount val="6"/>
                <c:pt idx="0">
                  <c:v>2020</c:v>
                </c:pt>
                <c:pt idx="1">
                  <c:v>2019</c:v>
                </c:pt>
                <c:pt idx="2">
                  <c:v>2018</c:v>
                </c:pt>
                <c:pt idx="3">
                  <c:v>2017</c:v>
                </c:pt>
                <c:pt idx="4">
                  <c:v>2016</c:v>
                </c:pt>
                <c:pt idx="5">
                  <c:v>2015</c:v>
                </c:pt>
              </c:numCache>
            </c:numRef>
          </c:cat>
          <c:val>
            <c:numRef>
              <c:f>'기타작업-1'!$C$3:$C$8</c:f>
              <c:numCache>
                <c:formatCode>_(* #,##0_);_(* \(#,##0\);_(* "-"_);_(@_)</c:formatCode>
                <c:ptCount val="6"/>
                <c:pt idx="0">
                  <c:v>5930000</c:v>
                </c:pt>
                <c:pt idx="1">
                  <c:v>5354000</c:v>
                </c:pt>
                <c:pt idx="2">
                  <c:v>5530500</c:v>
                </c:pt>
                <c:pt idx="3">
                  <c:v>4950000</c:v>
                </c:pt>
                <c:pt idx="4">
                  <c:v>4800000</c:v>
                </c:pt>
                <c:pt idx="5">
                  <c:v>4870000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D5-4C13-8327-4034D3C759E1}"/>
            </c:ext>
          </c:extLst>
        </c:ser>
        <c:ser>
          <c:idx val="2"/>
          <c:order val="1"/>
          <c:tx>
            <c:strRef>
              <c:f>'기타작업-1'!$D$2</c:f>
              <c:strCache>
                <c:ptCount val="1"/>
                <c:pt idx="0">
                  <c:v>수급자수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'기타작업-1'!$B$3:$B$8</c:f>
              <c:numCache>
                <c:formatCode>General</c:formatCode>
                <c:ptCount val="6"/>
                <c:pt idx="0">
                  <c:v>2020</c:v>
                </c:pt>
                <c:pt idx="1">
                  <c:v>2019</c:v>
                </c:pt>
                <c:pt idx="2">
                  <c:v>2018</c:v>
                </c:pt>
                <c:pt idx="3">
                  <c:v>2017</c:v>
                </c:pt>
                <c:pt idx="4">
                  <c:v>2016</c:v>
                </c:pt>
                <c:pt idx="5">
                  <c:v>2015</c:v>
                </c:pt>
              </c:numCache>
            </c:numRef>
          </c:cat>
          <c:val>
            <c:numRef>
              <c:f>'기타작업-1'!$D$3:$D$8</c:f>
              <c:numCache>
                <c:formatCode>_(* #,##0_);_(* \(#,##0\);_(* "-"_);_(@_)</c:formatCode>
                <c:ptCount val="6"/>
                <c:pt idx="0">
                  <c:v>2075000</c:v>
                </c:pt>
                <c:pt idx="1">
                  <c:v>2005000</c:v>
                </c:pt>
                <c:pt idx="2">
                  <c:v>1950000</c:v>
                </c:pt>
                <c:pt idx="3">
                  <c:v>1815000</c:v>
                </c:pt>
                <c:pt idx="4">
                  <c:v>1905000</c:v>
                </c:pt>
                <c:pt idx="5">
                  <c:v>1875000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D5-4C13-8327-4034D3C75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582303"/>
        <c:axId val="1092686095"/>
      </c:barChart>
      <c:lineChart>
        <c:grouping val="standard"/>
        <c:varyColors val="0"/>
        <c:ser>
          <c:idx val="3"/>
          <c:order val="2"/>
          <c:tx>
            <c:strRef>
              <c:f>'기타작업-1'!$E$2</c:f>
              <c:strCache>
                <c:ptCount val="1"/>
                <c:pt idx="0">
                  <c:v>수급율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4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927F-4A7F-B5E1-09EF46D83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'기타작업-1'!$B$3:$B$8</c:f>
              <c:numCache>
                <c:formatCode>General</c:formatCode>
                <c:ptCount val="6"/>
                <c:pt idx="0">
                  <c:v>2020</c:v>
                </c:pt>
                <c:pt idx="1">
                  <c:v>2019</c:v>
                </c:pt>
                <c:pt idx="2">
                  <c:v>2018</c:v>
                </c:pt>
                <c:pt idx="3">
                  <c:v>2017</c:v>
                </c:pt>
                <c:pt idx="4">
                  <c:v>2016</c:v>
                </c:pt>
                <c:pt idx="5">
                  <c:v>2015</c:v>
                </c:pt>
              </c:numCache>
            </c:numRef>
          </c:cat>
          <c:val>
            <c:numRef>
              <c:f>'기타작업-1'!$E$3:$E$8</c:f>
              <c:numCache>
                <c:formatCode>0%</c:formatCode>
                <c:ptCount val="6"/>
                <c:pt idx="0">
                  <c:v>0.34991568296795955</c:v>
                </c:pt>
                <c:pt idx="1">
                  <c:v>0.3744863653343295</c:v>
                </c:pt>
                <c:pt idx="2">
                  <c:v>0.3525901817195552</c:v>
                </c:pt>
                <c:pt idx="3">
                  <c:v>0.36666666666666664</c:v>
                </c:pt>
                <c:pt idx="4">
                  <c:v>0.39687499999999998</c:v>
                </c:pt>
                <c:pt idx="5">
                  <c:v>0.38501026694045176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D5-4C13-8327-4034D3C75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109904"/>
        <c:axId val="884126704"/>
      </c:lineChart>
      <c:catAx>
        <c:axId val="132058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92686095"/>
        <c:crossesAt val="0"/>
        <c:auto val="1"/>
        <c:lblAlgn val="ctr"/>
        <c:lblOffset val="100"/>
        <c:noMultiLvlLbl val="0"/>
      </c:catAx>
      <c:valAx>
        <c:axId val="1092686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058230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884126704"/>
        <c:scaling>
          <c:orientation val="minMax"/>
          <c:min val="0.30000000000000004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4109904"/>
        <c:crosses val="max"/>
        <c:crossBetween val="between"/>
      </c:valAx>
      <c:catAx>
        <c:axId val="88410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126704"/>
        <c:crossesAt val="0.3200000000000000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200025</xdr:rowOff>
    </xdr:from>
    <xdr:to>
      <xdr:col>12</xdr:col>
      <xdr:colOff>713253</xdr:colOff>
      <xdr:row>36</xdr:row>
      <xdr:rowOff>18863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6067425"/>
          <a:ext cx="8971428" cy="14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142875</xdr:colOff>
      <xdr:row>1</xdr:row>
      <xdr:rowOff>57150</xdr:rowOff>
    </xdr:from>
    <xdr:to>
      <xdr:col>27</xdr:col>
      <xdr:colOff>56132</xdr:colOff>
      <xdr:row>40</xdr:row>
      <xdr:rowOff>179938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266700"/>
          <a:ext cx="8142857" cy="82952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285750</xdr:colOff>
      <xdr:row>0</xdr:row>
      <xdr:rowOff>57150</xdr:rowOff>
    </xdr:from>
    <xdr:to>
      <xdr:col>16</xdr:col>
      <xdr:colOff>602853</xdr:colOff>
      <xdr:row>28</xdr:row>
      <xdr:rowOff>18321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6350" y="57150"/>
          <a:ext cx="8257143" cy="58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238125</xdr:colOff>
      <xdr:row>1</xdr:row>
      <xdr:rowOff>38100</xdr:rowOff>
    </xdr:from>
    <xdr:to>
      <xdr:col>22</xdr:col>
      <xdr:colOff>170430</xdr:colOff>
      <xdr:row>35</xdr:row>
      <xdr:rowOff>127229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05675" y="247650"/>
          <a:ext cx="8161905" cy="3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161925</xdr:colOff>
      <xdr:row>0</xdr:row>
      <xdr:rowOff>104775</xdr:rowOff>
    </xdr:from>
    <xdr:to>
      <xdr:col>20</xdr:col>
      <xdr:colOff>589553</xdr:colOff>
      <xdr:row>29</xdr:row>
      <xdr:rowOff>8777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48450" y="104775"/>
          <a:ext cx="7971428" cy="59809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295275</xdr:colOff>
      <xdr:row>1</xdr:row>
      <xdr:rowOff>47625</xdr:rowOff>
    </xdr:from>
    <xdr:to>
      <xdr:col>24</xdr:col>
      <xdr:colOff>227580</xdr:colOff>
      <xdr:row>13</xdr:row>
      <xdr:rowOff>190168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48625" y="257175"/>
          <a:ext cx="8161905" cy="26571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99060</xdr:rowOff>
        </xdr:from>
        <xdr:to>
          <xdr:col>8</xdr:col>
          <xdr:colOff>0</xdr:colOff>
          <xdr:row>2</xdr:row>
          <xdr:rowOff>114300</xdr:rowOff>
        </xdr:to>
        <xdr:sp macro="" textlink="">
          <xdr:nvSpPr>
            <xdr:cNvPr id="8193" name="cmd서비스신청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171450</xdr:colOff>
      <xdr:row>0</xdr:row>
      <xdr:rowOff>123825</xdr:rowOff>
    </xdr:from>
    <xdr:to>
      <xdr:col>22</xdr:col>
      <xdr:colOff>132318</xdr:colOff>
      <xdr:row>40</xdr:row>
      <xdr:rowOff>141825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5" y="123825"/>
          <a:ext cx="8257143" cy="84000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lose" refreshedDate="45156.766925578704" backgroundQuery="1" createdVersion="8" refreshedVersion="8" minRefreshableVersion="3" recordCount="0" supportSubquery="1" supportAdvancedDrill="1" xr:uid="{19F27BE3-63CA-49D5-9338-BB71D193EFE2}">
  <cacheSource type="external" connectionId="1"/>
  <cacheFields count="4">
    <cacheField name="[요양관리].[서비스명].[서비스명]" caption="서비스명" numFmtId="0" level="1">
      <sharedItems count="4">
        <s v="단기보호"/>
        <s v="방문간호"/>
        <s v="방문목욕"/>
        <s v="방문요양"/>
      </sharedItems>
    </cacheField>
    <cacheField name="[요양관리].[이용일구분].[이용일구분]" caption="이용일구분" numFmtId="0" hierarchy="1" level="1">
      <sharedItems count="3">
        <s v="심야"/>
        <s v="평일"/>
        <s v="휴일"/>
      </sharedItems>
    </cacheField>
    <cacheField name="[Measures].[평균: 공단부담금]" caption="평균: 공단부담금" numFmtId="0" hierarchy="8" level="32767"/>
    <cacheField name="[Measures].[평균: 본인부담금]" caption="평균: 본인부담금" numFmtId="0" hierarchy="9" level="32767"/>
  </cacheFields>
  <cacheHierarchies count="10">
    <cacheHierarchy uniqueName="[요양관리].[서비스명]" caption="서비스명" attribute="1" defaultMemberUniqueName="[요양관리].[서비스명].[All]" allUniqueName="[요양관리].[서비스명].[All]" dimensionUniqueName="[요양관리]" displayFolder="" count="2" memberValueDatatype="130" unbalanced="0">
      <fieldsUsage count="2">
        <fieldUsage x="-1"/>
        <fieldUsage x="0"/>
      </fieldsUsage>
    </cacheHierarchy>
    <cacheHierarchy uniqueName="[요양관리].[이용일구분]" caption="이용일구분" attribute="1" defaultMemberUniqueName="[요양관리].[이용일구분].[All]" allUniqueName="[요양관리].[이용일구분].[All]" dimensionUniqueName="[요양관리]" displayFolder="" count="2" memberValueDatatype="130" unbalanced="0">
      <fieldsUsage count="2">
        <fieldUsage x="-1"/>
        <fieldUsage x="1"/>
      </fieldsUsage>
    </cacheHierarchy>
    <cacheHierarchy uniqueName="[요양관리].[공단부담금]" caption="공단부담금" attribute="1" defaultMemberUniqueName="[요양관리].[공단부담금].[All]" allUniqueName="[요양관리].[공단부담금].[All]" dimensionUniqueName="[요양관리]" displayFolder="" count="0" memberValueDatatype="20" unbalanced="0"/>
    <cacheHierarchy uniqueName="[요양관리].[본인부담금]" caption="본인부담금" attribute="1" defaultMemberUniqueName="[요양관리].[본인부담금].[All]" allUniqueName="[요양관리].[본인부담금].[All]" dimensionUniqueName="[요양관리]" displayFolder="" count="0" memberValueDatatype="20" unbalanced="0"/>
    <cacheHierarchy uniqueName="[Measures].[__XL_Count 요양관리]" caption="__XL_Count 요양관리" measure="1" displayFolder="" measureGroup="요양관리" count="0" hidden="1"/>
    <cacheHierarchy uniqueName="[Measures].[__No measures defined]" caption="__No measures defined" measure="1" displayFolder="" count="0" hidden="1"/>
    <cacheHierarchy uniqueName="[Measures].[합계: 공단부담금]" caption="합계: 공단부담금" measure="1" displayFolder="" measureGroup="요양관리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본인부담금]" caption="합계: 본인부담금" measure="1" displayFolder="" measureGroup="요양관리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공단부담금]" caption="평균: 공단부담금" measure="1" displayFolder="" measureGroup="요양관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본인부담금]" caption="평균: 본인부담금" measure="1" displayFolder="" measureGroup="요양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요양관리" uniqueName="[요양관리]" caption="요양관리"/>
  </dimensions>
  <measureGroups count="1">
    <measureGroup name="요양관리" caption="요양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DCE2D0-91F4-4811-80B3-2002FE7B1CDF}" name="피벗 테이블1" cacheId="36" dataOnRows="1" applyNumberFormats="0" applyBorderFormats="0" applyFontFormats="0" applyPatternFormats="0" applyAlignmentFormats="0" applyWidthHeightFormats="1" dataCaption="값" missingCaption="**" updatedVersion="8" minRefreshableVersion="3" useAutoFormatting="1" itemPrintTitles="1" createdVersion="8" indent="0" compact="0" outline="1" outlineData="1" compactData="0" multipleFieldFilters="0">
  <location ref="A2:F17" firstHeaderRow="1" firstDataRow="2" firstDataCol="2"/>
  <pivotFields count="4">
    <pivotField axis="axisRow" compact="0" allDrilled="1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showAll="0" dataSourceSort="1" defaultSubtotal="0" defaultAttributeDrillState="1">
      <items count="3">
        <item x="0"/>
        <item x="1"/>
        <item x="2"/>
      </items>
    </pivotField>
    <pivotField dataField="1" compact="0" showAll="0" defaultSubtotal="0"/>
    <pivotField dataField="1" compact="0" showAll="0" defaultSubtotal="0"/>
  </pivotFields>
  <rowFields count="2">
    <field x="0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2">
    <dataField name="평균: 공단부담금" fld="2" subtotal="average" baseField="0" baseItem="0" numFmtId="179"/>
    <dataField name="평균: 본인부담금" fld="3" subtotal="average" baseField="0" baseItem="0" numFmtId="179"/>
  </dataFields>
  <pivotHierarchies count="10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평균: 공단부담금"/>
    <pivotHierarchy dragToData="1" caption="평균: 본인부담금"/>
  </pivotHierarchies>
  <pivotTableStyleInfo name="PivotStyleLight8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요양관리">
        <x15:activeTabTopLevelEntity name="[요양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2:N42"/>
  <sheetViews>
    <sheetView zoomScale="85" zoomScaleNormal="85" workbookViewId="0">
      <selection activeCell="O26" sqref="O26"/>
    </sheetView>
  </sheetViews>
  <sheetFormatPr defaultColWidth="9" defaultRowHeight="17.399999999999999" x14ac:dyDescent="0.4"/>
  <cols>
    <col min="1" max="1" width="2" customWidth="1"/>
    <col min="2" max="2" width="9.19921875" bestFit="1" customWidth="1"/>
    <col min="3" max="3" width="7.09765625" bestFit="1" customWidth="1"/>
    <col min="4" max="5" width="5.5" bestFit="1" customWidth="1"/>
    <col min="6" max="7" width="11.19921875" bestFit="1" customWidth="1"/>
    <col min="8" max="10" width="9.19921875" bestFit="1" customWidth="1"/>
    <col min="11" max="11" width="11.19921875" bestFit="1" customWidth="1"/>
    <col min="12" max="12" width="10.5" bestFit="1" customWidth="1"/>
    <col min="13" max="14" width="11.19921875" bestFit="1" customWidth="1"/>
  </cols>
  <sheetData>
    <row r="2" spans="2:14" x14ac:dyDescent="0.4">
      <c r="B2" s="5" t="s">
        <v>115</v>
      </c>
      <c r="C2" s="5" t="s">
        <v>116</v>
      </c>
      <c r="D2" s="5" t="s">
        <v>117</v>
      </c>
      <c r="E2" s="5" t="s">
        <v>118</v>
      </c>
      <c r="F2" s="5" t="s">
        <v>119</v>
      </c>
      <c r="G2" s="5" t="s">
        <v>120</v>
      </c>
      <c r="H2" s="5" t="s">
        <v>121</v>
      </c>
      <c r="I2" s="5" t="s">
        <v>122</v>
      </c>
      <c r="J2" s="5" t="s">
        <v>123</v>
      </c>
      <c r="K2" s="5" t="s">
        <v>124</v>
      </c>
      <c r="L2" s="5" t="s">
        <v>125</v>
      </c>
      <c r="M2" s="5" t="s">
        <v>126</v>
      </c>
      <c r="N2" s="5" t="s">
        <v>127</v>
      </c>
    </row>
    <row r="3" spans="2:14" x14ac:dyDescent="0.4">
      <c r="B3" s="1" t="s">
        <v>72</v>
      </c>
      <c r="C3" s="1" t="s">
        <v>63</v>
      </c>
      <c r="D3" s="1" t="s">
        <v>70</v>
      </c>
      <c r="E3" s="1">
        <v>67</v>
      </c>
      <c r="F3" s="1">
        <v>1</v>
      </c>
      <c r="G3" s="1" t="s">
        <v>128</v>
      </c>
      <c r="H3" s="1" t="s">
        <v>129</v>
      </c>
      <c r="I3" s="1">
        <v>4</v>
      </c>
      <c r="J3" s="1">
        <v>40</v>
      </c>
      <c r="K3" s="1" t="s">
        <v>98</v>
      </c>
      <c r="L3" s="17">
        <v>400000</v>
      </c>
      <c r="M3" s="17">
        <v>400000</v>
      </c>
      <c r="N3" s="18">
        <v>0</v>
      </c>
    </row>
    <row r="4" spans="2:14" x14ac:dyDescent="0.4">
      <c r="B4" s="1" t="s">
        <v>73</v>
      </c>
      <c r="C4" s="1" t="s">
        <v>65</v>
      </c>
      <c r="D4" s="1" t="s">
        <v>68</v>
      </c>
      <c r="E4" s="1">
        <v>84</v>
      </c>
      <c r="F4" s="1">
        <v>3</v>
      </c>
      <c r="G4" s="1" t="s">
        <v>130</v>
      </c>
      <c r="H4" s="1" t="s">
        <v>129</v>
      </c>
      <c r="I4" s="1">
        <v>1</v>
      </c>
      <c r="J4" s="1">
        <v>4</v>
      </c>
      <c r="K4" s="1" t="s">
        <v>98</v>
      </c>
      <c r="L4" s="18">
        <v>40000</v>
      </c>
      <c r="M4" s="18">
        <v>32000</v>
      </c>
      <c r="N4" s="18">
        <v>8000</v>
      </c>
    </row>
    <row r="5" spans="2:14" x14ac:dyDescent="0.4">
      <c r="B5" s="1" t="s">
        <v>74</v>
      </c>
      <c r="C5" s="1" t="s">
        <v>131</v>
      </c>
      <c r="D5" s="1" t="s">
        <v>70</v>
      </c>
      <c r="E5" s="1">
        <v>74</v>
      </c>
      <c r="F5" s="1">
        <v>2</v>
      </c>
      <c r="G5" s="1" t="s">
        <v>101</v>
      </c>
      <c r="H5" s="1" t="s">
        <v>132</v>
      </c>
      <c r="I5" s="1">
        <v>7</v>
      </c>
      <c r="J5" s="1">
        <v>35</v>
      </c>
      <c r="K5" s="1" t="s">
        <v>98</v>
      </c>
      <c r="L5" s="18">
        <v>350000</v>
      </c>
      <c r="M5" s="18">
        <v>315000</v>
      </c>
      <c r="N5" s="18">
        <v>35000</v>
      </c>
    </row>
    <row r="6" spans="2:14" x14ac:dyDescent="0.4">
      <c r="B6" s="1" t="s">
        <v>75</v>
      </c>
      <c r="C6" s="1" t="s">
        <v>43</v>
      </c>
      <c r="D6" s="1" t="s">
        <v>70</v>
      </c>
      <c r="E6" s="1">
        <v>79</v>
      </c>
      <c r="F6" s="1">
        <v>3</v>
      </c>
      <c r="G6" s="1" t="s">
        <v>101</v>
      </c>
      <c r="H6" s="1" t="s">
        <v>133</v>
      </c>
      <c r="I6" s="1">
        <v>3</v>
      </c>
      <c r="J6" s="1">
        <v>18</v>
      </c>
      <c r="K6" s="1" t="s">
        <v>98</v>
      </c>
      <c r="L6" s="18">
        <v>180000</v>
      </c>
      <c r="M6" s="18">
        <v>162000</v>
      </c>
      <c r="N6" s="18">
        <v>18000</v>
      </c>
    </row>
    <row r="7" spans="2:14" x14ac:dyDescent="0.4">
      <c r="B7" s="1" t="s">
        <v>76</v>
      </c>
      <c r="C7" s="1" t="s">
        <v>42</v>
      </c>
      <c r="D7" s="1" t="s">
        <v>68</v>
      </c>
      <c r="E7" s="1">
        <v>81</v>
      </c>
      <c r="F7" s="1">
        <v>5</v>
      </c>
      <c r="G7" s="1" t="s">
        <v>130</v>
      </c>
      <c r="H7" s="1" t="s">
        <v>134</v>
      </c>
      <c r="I7" s="1">
        <v>4</v>
      </c>
      <c r="J7" s="1">
        <v>24</v>
      </c>
      <c r="K7" s="1" t="s">
        <v>98</v>
      </c>
      <c r="L7" s="18">
        <v>240000</v>
      </c>
      <c r="M7" s="18">
        <v>192000</v>
      </c>
      <c r="N7" s="18">
        <v>48000</v>
      </c>
    </row>
    <row r="8" spans="2:14" x14ac:dyDescent="0.4">
      <c r="B8" s="1" t="s">
        <v>77</v>
      </c>
      <c r="C8" s="1" t="s">
        <v>135</v>
      </c>
      <c r="D8" s="1" t="s">
        <v>70</v>
      </c>
      <c r="E8" s="1">
        <v>93</v>
      </c>
      <c r="F8" s="1">
        <v>1</v>
      </c>
      <c r="G8" s="1" t="s">
        <v>128</v>
      </c>
      <c r="H8" s="1" t="s">
        <v>132</v>
      </c>
      <c r="I8" s="1">
        <v>4</v>
      </c>
      <c r="J8" s="1">
        <v>28</v>
      </c>
      <c r="K8" s="1" t="s">
        <v>98</v>
      </c>
      <c r="L8" s="18">
        <v>280000</v>
      </c>
      <c r="M8" s="18">
        <v>280000</v>
      </c>
      <c r="N8" s="18">
        <v>0</v>
      </c>
    </row>
    <row r="9" spans="2:14" x14ac:dyDescent="0.4">
      <c r="B9" s="1" t="s">
        <v>78</v>
      </c>
      <c r="C9" s="1" t="s">
        <v>47</v>
      </c>
      <c r="D9" s="1" t="s">
        <v>68</v>
      </c>
      <c r="E9" s="1">
        <v>64</v>
      </c>
      <c r="F9" s="1">
        <v>5</v>
      </c>
      <c r="G9" s="1" t="s">
        <v>101</v>
      </c>
      <c r="H9" s="1" t="s">
        <v>133</v>
      </c>
      <c r="I9" s="1">
        <v>2</v>
      </c>
      <c r="J9" s="1">
        <v>12</v>
      </c>
      <c r="K9" s="1" t="s">
        <v>99</v>
      </c>
      <c r="L9" s="18">
        <v>156000</v>
      </c>
      <c r="M9" s="18">
        <v>140400</v>
      </c>
      <c r="N9" s="18">
        <v>15600</v>
      </c>
    </row>
    <row r="10" spans="2:14" x14ac:dyDescent="0.4">
      <c r="B10" s="1" t="s">
        <v>79</v>
      </c>
      <c r="C10" s="1" t="s">
        <v>53</v>
      </c>
      <c r="D10" s="1" t="s">
        <v>70</v>
      </c>
      <c r="E10" s="1">
        <v>80</v>
      </c>
      <c r="F10" s="1">
        <v>4</v>
      </c>
      <c r="G10" s="1" t="s">
        <v>130</v>
      </c>
      <c r="H10" s="1" t="s">
        <v>129</v>
      </c>
      <c r="I10" s="1">
        <v>2</v>
      </c>
      <c r="J10" s="1">
        <v>12</v>
      </c>
      <c r="K10" s="1" t="s">
        <v>99</v>
      </c>
      <c r="L10" s="18">
        <v>156000</v>
      </c>
      <c r="M10" s="18">
        <v>124800</v>
      </c>
      <c r="N10" s="18">
        <v>31200</v>
      </c>
    </row>
    <row r="11" spans="2:14" x14ac:dyDescent="0.4">
      <c r="B11" s="1" t="s">
        <v>80</v>
      </c>
      <c r="C11" s="1" t="s">
        <v>66</v>
      </c>
      <c r="D11" s="1" t="s">
        <v>68</v>
      </c>
      <c r="E11" s="1">
        <v>93</v>
      </c>
      <c r="F11" s="1">
        <v>4</v>
      </c>
      <c r="G11" s="1" t="s">
        <v>130</v>
      </c>
      <c r="H11" s="1" t="s">
        <v>132</v>
      </c>
      <c r="I11" s="1">
        <v>4</v>
      </c>
      <c r="J11" s="1">
        <v>24</v>
      </c>
      <c r="K11" s="1" t="s">
        <v>100</v>
      </c>
      <c r="L11" s="18">
        <v>288000</v>
      </c>
      <c r="M11" s="18">
        <v>230400</v>
      </c>
      <c r="N11" s="18">
        <v>57600</v>
      </c>
    </row>
    <row r="12" spans="2:14" x14ac:dyDescent="0.4">
      <c r="B12" s="1" t="s">
        <v>81</v>
      </c>
      <c r="C12" s="1" t="s">
        <v>59</v>
      </c>
      <c r="D12" s="1" t="s">
        <v>68</v>
      </c>
      <c r="E12" s="1">
        <v>50</v>
      </c>
      <c r="F12" s="1">
        <v>2</v>
      </c>
      <c r="G12" s="1" t="s">
        <v>101</v>
      </c>
      <c r="H12" s="1" t="s">
        <v>132</v>
      </c>
      <c r="I12" s="1">
        <v>3</v>
      </c>
      <c r="J12" s="1">
        <v>18</v>
      </c>
      <c r="K12" s="1" t="s">
        <v>98</v>
      </c>
      <c r="L12" s="18">
        <v>180000</v>
      </c>
      <c r="M12" s="18">
        <v>162000</v>
      </c>
      <c r="N12" s="18">
        <v>18000</v>
      </c>
    </row>
    <row r="13" spans="2:14" x14ac:dyDescent="0.4">
      <c r="B13" s="1" t="s">
        <v>82</v>
      </c>
      <c r="C13" s="1" t="s">
        <v>136</v>
      </c>
      <c r="D13" s="1" t="s">
        <v>70</v>
      </c>
      <c r="E13" s="1">
        <v>95</v>
      </c>
      <c r="F13" s="1">
        <v>1</v>
      </c>
      <c r="G13" s="1" t="s">
        <v>130</v>
      </c>
      <c r="H13" s="1" t="s">
        <v>129</v>
      </c>
      <c r="I13" s="1">
        <v>3</v>
      </c>
      <c r="J13" s="1">
        <v>27</v>
      </c>
      <c r="K13" s="1" t="s">
        <v>98</v>
      </c>
      <c r="L13" s="18">
        <v>270000</v>
      </c>
      <c r="M13" s="18">
        <v>216000</v>
      </c>
      <c r="N13" s="18">
        <v>54000</v>
      </c>
    </row>
    <row r="14" spans="2:14" x14ac:dyDescent="0.4">
      <c r="B14" s="1" t="s">
        <v>83</v>
      </c>
      <c r="C14" s="1" t="s">
        <v>46</v>
      </c>
      <c r="D14" s="1" t="s">
        <v>68</v>
      </c>
      <c r="E14" s="1">
        <v>65</v>
      </c>
      <c r="F14" s="1">
        <v>1</v>
      </c>
      <c r="G14" s="1" t="s">
        <v>128</v>
      </c>
      <c r="H14" s="1" t="s">
        <v>132</v>
      </c>
      <c r="I14" s="1">
        <v>5</v>
      </c>
      <c r="J14" s="1">
        <v>20</v>
      </c>
      <c r="K14" s="1" t="s">
        <v>98</v>
      </c>
      <c r="L14" s="18">
        <v>200000</v>
      </c>
      <c r="M14" s="18">
        <v>200000</v>
      </c>
      <c r="N14" s="18">
        <v>0</v>
      </c>
    </row>
    <row r="15" spans="2:14" x14ac:dyDescent="0.4">
      <c r="B15" s="1" t="s">
        <v>84</v>
      </c>
      <c r="C15" s="1" t="s">
        <v>60</v>
      </c>
      <c r="D15" s="1" t="s">
        <v>70</v>
      </c>
      <c r="E15" s="1">
        <v>73</v>
      </c>
      <c r="F15" s="1">
        <v>5</v>
      </c>
      <c r="G15" s="1" t="s">
        <v>128</v>
      </c>
      <c r="H15" s="1" t="s">
        <v>133</v>
      </c>
      <c r="I15" s="1">
        <v>7</v>
      </c>
      <c r="J15" s="1">
        <v>59</v>
      </c>
      <c r="K15" s="1" t="s">
        <v>100</v>
      </c>
      <c r="L15" s="18">
        <v>650000</v>
      </c>
      <c r="M15" s="18">
        <v>500000</v>
      </c>
      <c r="N15" s="18">
        <v>150000</v>
      </c>
    </row>
    <row r="16" spans="2:14" x14ac:dyDescent="0.4">
      <c r="B16" s="1" t="s">
        <v>85</v>
      </c>
      <c r="C16" s="1" t="s">
        <v>45</v>
      </c>
      <c r="D16" s="1" t="s">
        <v>68</v>
      </c>
      <c r="E16" s="1">
        <v>82</v>
      </c>
      <c r="F16" s="1">
        <v>1</v>
      </c>
      <c r="G16" s="1" t="s">
        <v>101</v>
      </c>
      <c r="H16" s="1" t="s">
        <v>129</v>
      </c>
      <c r="I16" s="1">
        <v>6</v>
      </c>
      <c r="J16" s="1">
        <v>54</v>
      </c>
      <c r="K16" s="1" t="s">
        <v>100</v>
      </c>
      <c r="L16" s="18">
        <v>648000</v>
      </c>
      <c r="M16" s="18">
        <v>583200</v>
      </c>
      <c r="N16" s="18">
        <v>64800</v>
      </c>
    </row>
    <row r="17" spans="2:14" x14ac:dyDescent="0.4">
      <c r="B17" s="1" t="s">
        <v>86</v>
      </c>
      <c r="C17" s="1" t="s">
        <v>49</v>
      </c>
      <c r="D17" s="1" t="s">
        <v>68</v>
      </c>
      <c r="E17" s="1">
        <v>51</v>
      </c>
      <c r="F17" s="1">
        <v>2</v>
      </c>
      <c r="G17" s="1" t="s">
        <v>101</v>
      </c>
      <c r="H17" s="1" t="s">
        <v>129</v>
      </c>
      <c r="I17" s="1">
        <v>2</v>
      </c>
      <c r="J17" s="1">
        <v>16</v>
      </c>
      <c r="K17" s="1" t="s">
        <v>100</v>
      </c>
      <c r="L17" s="18">
        <v>192000</v>
      </c>
      <c r="M17" s="18">
        <v>172800</v>
      </c>
      <c r="N17" s="18">
        <v>19200</v>
      </c>
    </row>
    <row r="18" spans="2:14" x14ac:dyDescent="0.4">
      <c r="B18" s="1" t="s">
        <v>87</v>
      </c>
      <c r="C18" s="1" t="s">
        <v>44</v>
      </c>
      <c r="D18" s="1" t="s">
        <v>68</v>
      </c>
      <c r="E18" s="1">
        <v>83</v>
      </c>
      <c r="F18" s="1">
        <v>1</v>
      </c>
      <c r="G18" s="1" t="s">
        <v>128</v>
      </c>
      <c r="H18" s="1" t="s">
        <v>134</v>
      </c>
      <c r="I18" s="1">
        <v>1</v>
      </c>
      <c r="J18" s="1">
        <v>4</v>
      </c>
      <c r="K18" s="1" t="s">
        <v>98</v>
      </c>
      <c r="L18" s="18">
        <v>40000</v>
      </c>
      <c r="M18" s="18">
        <v>40000</v>
      </c>
      <c r="N18" s="18">
        <v>0</v>
      </c>
    </row>
    <row r="19" spans="2:14" x14ac:dyDescent="0.4">
      <c r="B19" s="1" t="s">
        <v>88</v>
      </c>
      <c r="C19" s="1" t="s">
        <v>61</v>
      </c>
      <c r="D19" s="1" t="s">
        <v>70</v>
      </c>
      <c r="E19" s="1">
        <v>56</v>
      </c>
      <c r="F19" s="1">
        <v>1</v>
      </c>
      <c r="G19" s="1" t="s">
        <v>128</v>
      </c>
      <c r="H19" s="1" t="s">
        <v>134</v>
      </c>
      <c r="I19" s="1">
        <v>6</v>
      </c>
      <c r="J19" s="1">
        <v>54</v>
      </c>
      <c r="K19" s="1" t="s">
        <v>98</v>
      </c>
      <c r="L19" s="18">
        <v>540000</v>
      </c>
      <c r="M19" s="18">
        <v>540000</v>
      </c>
      <c r="N19" s="18">
        <v>0</v>
      </c>
    </row>
    <row r="20" spans="2:14" x14ac:dyDescent="0.4">
      <c r="B20" s="1" t="s">
        <v>89</v>
      </c>
      <c r="C20" s="1" t="s">
        <v>52</v>
      </c>
      <c r="D20" s="1" t="s">
        <v>68</v>
      </c>
      <c r="E20" s="1">
        <v>89</v>
      </c>
      <c r="F20" s="1">
        <v>2</v>
      </c>
      <c r="G20" s="1" t="s">
        <v>130</v>
      </c>
      <c r="H20" s="1" t="s">
        <v>132</v>
      </c>
      <c r="I20" s="1">
        <v>6</v>
      </c>
      <c r="J20" s="1">
        <v>36</v>
      </c>
      <c r="K20" s="1" t="s">
        <v>98</v>
      </c>
      <c r="L20" s="18">
        <v>360000</v>
      </c>
      <c r="M20" s="18">
        <v>288000</v>
      </c>
      <c r="N20" s="18">
        <v>72000</v>
      </c>
    </row>
    <row r="21" spans="2:14" x14ac:dyDescent="0.4">
      <c r="B21" s="1" t="s">
        <v>90</v>
      </c>
      <c r="C21" s="1" t="s">
        <v>56</v>
      </c>
      <c r="D21" s="1" t="s">
        <v>68</v>
      </c>
      <c r="E21" s="1">
        <v>88</v>
      </c>
      <c r="F21" s="1">
        <v>5</v>
      </c>
      <c r="G21" s="1" t="s">
        <v>128</v>
      </c>
      <c r="H21" s="1" t="s">
        <v>134</v>
      </c>
      <c r="I21" s="1">
        <v>7</v>
      </c>
      <c r="J21" s="1">
        <v>28</v>
      </c>
      <c r="K21" s="1" t="s">
        <v>99</v>
      </c>
      <c r="L21" s="18">
        <v>364000</v>
      </c>
      <c r="M21" s="18">
        <v>364000</v>
      </c>
      <c r="N21" s="18">
        <v>0</v>
      </c>
    </row>
    <row r="22" spans="2:14" x14ac:dyDescent="0.4">
      <c r="B22" s="1" t="s">
        <v>91</v>
      </c>
      <c r="C22" s="1" t="s">
        <v>64</v>
      </c>
      <c r="D22" s="1" t="s">
        <v>68</v>
      </c>
      <c r="E22" s="1">
        <v>64</v>
      </c>
      <c r="F22" s="1">
        <v>5</v>
      </c>
      <c r="G22" s="1" t="s">
        <v>130</v>
      </c>
      <c r="H22" s="1" t="s">
        <v>134</v>
      </c>
      <c r="I22" s="1">
        <v>2</v>
      </c>
      <c r="J22" s="1">
        <v>8</v>
      </c>
      <c r="K22" s="1" t="s">
        <v>99</v>
      </c>
      <c r="L22" s="18">
        <v>104000</v>
      </c>
      <c r="M22" s="18">
        <v>83200</v>
      </c>
      <c r="N22" s="18">
        <v>20800</v>
      </c>
    </row>
    <row r="23" spans="2:14" x14ac:dyDescent="0.4">
      <c r="B23" s="1" t="s">
        <v>92</v>
      </c>
      <c r="C23" s="1" t="s">
        <v>48</v>
      </c>
      <c r="D23" s="1" t="s">
        <v>68</v>
      </c>
      <c r="E23" s="1">
        <v>89</v>
      </c>
      <c r="F23" s="1">
        <v>3</v>
      </c>
      <c r="G23" s="1" t="s">
        <v>128</v>
      </c>
      <c r="H23" s="1" t="s">
        <v>134</v>
      </c>
      <c r="I23" s="1">
        <v>1</v>
      </c>
      <c r="J23" s="1">
        <v>4</v>
      </c>
      <c r="K23" s="1" t="s">
        <v>100</v>
      </c>
      <c r="L23" s="18">
        <v>48000</v>
      </c>
      <c r="M23" s="18">
        <v>48000</v>
      </c>
      <c r="N23" s="18">
        <v>0</v>
      </c>
    </row>
    <row r="24" spans="2:14" x14ac:dyDescent="0.4">
      <c r="B24" s="1" t="s">
        <v>93</v>
      </c>
      <c r="C24" s="1" t="s">
        <v>67</v>
      </c>
      <c r="D24" s="1" t="s">
        <v>68</v>
      </c>
      <c r="E24" s="1">
        <v>53</v>
      </c>
      <c r="F24" s="1">
        <v>1</v>
      </c>
      <c r="G24" s="1" t="s">
        <v>128</v>
      </c>
      <c r="H24" s="1" t="s">
        <v>134</v>
      </c>
      <c r="I24" s="1">
        <v>5</v>
      </c>
      <c r="J24" s="1">
        <v>45</v>
      </c>
      <c r="K24" s="1" t="s">
        <v>99</v>
      </c>
      <c r="L24" s="18">
        <v>585000</v>
      </c>
      <c r="M24" s="18">
        <v>585000</v>
      </c>
      <c r="N24" s="18">
        <v>0</v>
      </c>
    </row>
    <row r="25" spans="2:14" x14ac:dyDescent="0.4">
      <c r="B25" s="1" t="s">
        <v>94</v>
      </c>
      <c r="C25" s="1" t="s">
        <v>137</v>
      </c>
      <c r="D25" s="1" t="s">
        <v>70</v>
      </c>
      <c r="E25" s="1">
        <v>53</v>
      </c>
      <c r="F25" s="1">
        <v>4</v>
      </c>
      <c r="G25" s="1" t="s">
        <v>101</v>
      </c>
      <c r="H25" s="1" t="s">
        <v>133</v>
      </c>
      <c r="I25" s="1">
        <v>1</v>
      </c>
      <c r="J25" s="1">
        <v>8</v>
      </c>
      <c r="K25" s="1" t="s">
        <v>98</v>
      </c>
      <c r="L25" s="18">
        <v>80000</v>
      </c>
      <c r="M25" s="18">
        <v>72000</v>
      </c>
      <c r="N25" s="18">
        <v>8000</v>
      </c>
    </row>
    <row r="26" spans="2:14" x14ac:dyDescent="0.4">
      <c r="B26" s="1" t="s">
        <v>95</v>
      </c>
      <c r="C26" s="1" t="s">
        <v>62</v>
      </c>
      <c r="D26" s="1" t="s">
        <v>68</v>
      </c>
      <c r="E26" s="1">
        <v>77</v>
      </c>
      <c r="F26" s="1">
        <v>1</v>
      </c>
      <c r="G26" s="1" t="s">
        <v>130</v>
      </c>
      <c r="H26" s="1" t="s">
        <v>129</v>
      </c>
      <c r="I26" s="1">
        <v>7</v>
      </c>
      <c r="J26" s="1">
        <v>70</v>
      </c>
      <c r="K26" s="1" t="s">
        <v>98</v>
      </c>
      <c r="L26" s="18">
        <v>700000</v>
      </c>
      <c r="M26" s="18">
        <v>560000</v>
      </c>
      <c r="N26" s="18">
        <v>140000</v>
      </c>
    </row>
    <row r="27" spans="2:14" x14ac:dyDescent="0.4">
      <c r="B27" s="1" t="s">
        <v>96</v>
      </c>
      <c r="C27" s="1" t="s">
        <v>51</v>
      </c>
      <c r="D27" s="1" t="s">
        <v>68</v>
      </c>
      <c r="E27" s="1">
        <v>85</v>
      </c>
      <c r="F27" s="1">
        <v>3</v>
      </c>
      <c r="G27" s="1" t="s">
        <v>101</v>
      </c>
      <c r="H27" s="1" t="s">
        <v>133</v>
      </c>
      <c r="I27" s="1">
        <v>5</v>
      </c>
      <c r="J27" s="1">
        <v>40</v>
      </c>
      <c r="K27" s="1" t="s">
        <v>99</v>
      </c>
      <c r="L27" s="18">
        <v>520000</v>
      </c>
      <c r="M27" s="18">
        <v>468000</v>
      </c>
      <c r="N27" s="18">
        <v>52000</v>
      </c>
    </row>
    <row r="28" spans="2:14" x14ac:dyDescent="0.4">
      <c r="B28" s="1" t="s">
        <v>97</v>
      </c>
      <c r="C28" s="1" t="s">
        <v>58</v>
      </c>
      <c r="D28" s="1" t="s">
        <v>70</v>
      </c>
      <c r="E28" s="1">
        <v>79</v>
      </c>
      <c r="F28" s="1">
        <v>5</v>
      </c>
      <c r="G28" s="1" t="s">
        <v>130</v>
      </c>
      <c r="H28" s="1" t="s">
        <v>133</v>
      </c>
      <c r="I28" s="1">
        <v>2</v>
      </c>
      <c r="J28" s="1">
        <v>16</v>
      </c>
      <c r="K28" s="1" t="s">
        <v>100</v>
      </c>
      <c r="L28" s="18">
        <v>192000</v>
      </c>
      <c r="M28" s="18">
        <v>153600</v>
      </c>
      <c r="N28" s="18">
        <v>38400</v>
      </c>
    </row>
    <row r="30" spans="2:14" x14ac:dyDescent="0.4">
      <c r="B30" s="12" t="s">
        <v>144</v>
      </c>
    </row>
    <row r="31" spans="2:14" x14ac:dyDescent="0.4">
      <c r="B31" t="b">
        <f>AND(G3&lt;&gt;"일반",M3&gt;AVERAGE($M$3:$M$28))</f>
        <v>1</v>
      </c>
    </row>
    <row r="33" spans="2:14" x14ac:dyDescent="0.4">
      <c r="B33" s="5" t="s">
        <v>115</v>
      </c>
      <c r="C33" s="5" t="s">
        <v>116</v>
      </c>
      <c r="D33" s="5" t="s">
        <v>117</v>
      </c>
      <c r="E33" s="5" t="s">
        <v>118</v>
      </c>
      <c r="F33" s="5" t="s">
        <v>119</v>
      </c>
      <c r="G33" s="5" t="s">
        <v>120</v>
      </c>
      <c r="H33" s="5" t="s">
        <v>121</v>
      </c>
      <c r="I33" s="5" t="s">
        <v>122</v>
      </c>
      <c r="J33" s="5" t="s">
        <v>123</v>
      </c>
      <c r="K33" s="5" t="s">
        <v>124</v>
      </c>
      <c r="L33" s="5" t="s">
        <v>125</v>
      </c>
      <c r="M33" s="5" t="s">
        <v>126</v>
      </c>
      <c r="N33" s="5" t="s">
        <v>127</v>
      </c>
    </row>
    <row r="34" spans="2:14" x14ac:dyDescent="0.4">
      <c r="B34" s="1" t="s">
        <v>72</v>
      </c>
      <c r="C34" s="1" t="s">
        <v>63</v>
      </c>
      <c r="D34" s="1" t="s">
        <v>70</v>
      </c>
      <c r="E34" s="1">
        <v>67</v>
      </c>
      <c r="F34" s="1">
        <v>1</v>
      </c>
      <c r="G34" s="1" t="s">
        <v>128</v>
      </c>
      <c r="H34" s="1" t="s">
        <v>129</v>
      </c>
      <c r="I34" s="1">
        <v>4</v>
      </c>
      <c r="J34" s="1">
        <v>40</v>
      </c>
      <c r="K34" s="1" t="s">
        <v>98</v>
      </c>
      <c r="L34" s="17">
        <v>400000</v>
      </c>
      <c r="M34" s="17">
        <v>400000</v>
      </c>
      <c r="N34" s="18">
        <v>0</v>
      </c>
    </row>
    <row r="35" spans="2:14" x14ac:dyDescent="0.4">
      <c r="B35" s="1" t="s">
        <v>74</v>
      </c>
      <c r="C35" s="1" t="s">
        <v>131</v>
      </c>
      <c r="D35" s="1" t="s">
        <v>70</v>
      </c>
      <c r="E35" s="1">
        <v>74</v>
      </c>
      <c r="F35" s="1">
        <v>2</v>
      </c>
      <c r="G35" s="1" t="s">
        <v>101</v>
      </c>
      <c r="H35" s="1" t="s">
        <v>132</v>
      </c>
      <c r="I35" s="1">
        <v>7</v>
      </c>
      <c r="J35" s="1">
        <v>35</v>
      </c>
      <c r="K35" s="1" t="s">
        <v>98</v>
      </c>
      <c r="L35" s="18">
        <v>350000</v>
      </c>
      <c r="M35" s="18">
        <v>315000</v>
      </c>
      <c r="N35" s="18">
        <v>35000</v>
      </c>
    </row>
    <row r="36" spans="2:14" x14ac:dyDescent="0.4">
      <c r="B36" s="1" t="s">
        <v>77</v>
      </c>
      <c r="C36" s="1" t="s">
        <v>135</v>
      </c>
      <c r="D36" s="1" t="s">
        <v>70</v>
      </c>
      <c r="E36" s="1">
        <v>93</v>
      </c>
      <c r="F36" s="1">
        <v>1</v>
      </c>
      <c r="G36" s="1" t="s">
        <v>128</v>
      </c>
      <c r="H36" s="1" t="s">
        <v>132</v>
      </c>
      <c r="I36" s="1">
        <v>4</v>
      </c>
      <c r="J36" s="1">
        <v>28</v>
      </c>
      <c r="K36" s="1" t="s">
        <v>98</v>
      </c>
      <c r="L36" s="18">
        <v>280000</v>
      </c>
      <c r="M36" s="18">
        <v>280000</v>
      </c>
      <c r="N36" s="18">
        <v>0</v>
      </c>
    </row>
    <row r="37" spans="2:14" x14ac:dyDescent="0.4">
      <c r="B37" s="1" t="s">
        <v>84</v>
      </c>
      <c r="C37" s="1" t="s">
        <v>60</v>
      </c>
      <c r="D37" s="1" t="s">
        <v>70</v>
      </c>
      <c r="E37" s="1">
        <v>73</v>
      </c>
      <c r="F37" s="1">
        <v>5</v>
      </c>
      <c r="G37" s="1" t="s">
        <v>128</v>
      </c>
      <c r="H37" s="1" t="s">
        <v>133</v>
      </c>
      <c r="I37" s="1">
        <v>7</v>
      </c>
      <c r="J37" s="1">
        <v>59</v>
      </c>
      <c r="K37" s="1" t="s">
        <v>100</v>
      </c>
      <c r="L37" s="18">
        <v>650000</v>
      </c>
      <c r="M37" s="18">
        <v>500000</v>
      </c>
      <c r="N37" s="18">
        <v>150000</v>
      </c>
    </row>
    <row r="38" spans="2:14" x14ac:dyDescent="0.4">
      <c r="B38" s="1" t="s">
        <v>85</v>
      </c>
      <c r="C38" s="1" t="s">
        <v>45</v>
      </c>
      <c r="D38" s="1" t="s">
        <v>68</v>
      </c>
      <c r="E38" s="1">
        <v>82</v>
      </c>
      <c r="F38" s="1">
        <v>1</v>
      </c>
      <c r="G38" s="1" t="s">
        <v>101</v>
      </c>
      <c r="H38" s="1" t="s">
        <v>129</v>
      </c>
      <c r="I38" s="1">
        <v>6</v>
      </c>
      <c r="J38" s="1">
        <v>54</v>
      </c>
      <c r="K38" s="1" t="s">
        <v>100</v>
      </c>
      <c r="L38" s="18">
        <v>648000</v>
      </c>
      <c r="M38" s="18">
        <v>583200</v>
      </c>
      <c r="N38" s="18">
        <v>64800</v>
      </c>
    </row>
    <row r="39" spans="2:14" x14ac:dyDescent="0.4">
      <c r="B39" s="1" t="s">
        <v>88</v>
      </c>
      <c r="C39" s="1" t="s">
        <v>61</v>
      </c>
      <c r="D39" s="1" t="s">
        <v>70</v>
      </c>
      <c r="E39" s="1">
        <v>56</v>
      </c>
      <c r="F39" s="1">
        <v>1</v>
      </c>
      <c r="G39" s="1" t="s">
        <v>128</v>
      </c>
      <c r="H39" s="1" t="s">
        <v>134</v>
      </c>
      <c r="I39" s="1">
        <v>6</v>
      </c>
      <c r="J39" s="1">
        <v>54</v>
      </c>
      <c r="K39" s="1" t="s">
        <v>98</v>
      </c>
      <c r="L39" s="18">
        <v>540000</v>
      </c>
      <c r="M39" s="18">
        <v>540000</v>
      </c>
      <c r="N39" s="18">
        <v>0</v>
      </c>
    </row>
    <row r="40" spans="2:14" x14ac:dyDescent="0.4">
      <c r="B40" s="1" t="s">
        <v>90</v>
      </c>
      <c r="C40" s="1" t="s">
        <v>56</v>
      </c>
      <c r="D40" s="1" t="s">
        <v>68</v>
      </c>
      <c r="E40" s="1">
        <v>88</v>
      </c>
      <c r="F40" s="1">
        <v>5</v>
      </c>
      <c r="G40" s="1" t="s">
        <v>128</v>
      </c>
      <c r="H40" s="1" t="s">
        <v>134</v>
      </c>
      <c r="I40" s="1">
        <v>7</v>
      </c>
      <c r="J40" s="1">
        <v>28</v>
      </c>
      <c r="K40" s="1" t="s">
        <v>99</v>
      </c>
      <c r="L40" s="18">
        <v>364000</v>
      </c>
      <c r="M40" s="18">
        <v>364000</v>
      </c>
      <c r="N40" s="18">
        <v>0</v>
      </c>
    </row>
    <row r="41" spans="2:14" x14ac:dyDescent="0.4">
      <c r="B41" s="1" t="s">
        <v>93</v>
      </c>
      <c r="C41" s="1" t="s">
        <v>67</v>
      </c>
      <c r="D41" s="1" t="s">
        <v>68</v>
      </c>
      <c r="E41" s="1">
        <v>53</v>
      </c>
      <c r="F41" s="1">
        <v>1</v>
      </c>
      <c r="G41" s="1" t="s">
        <v>128</v>
      </c>
      <c r="H41" s="1" t="s">
        <v>134</v>
      </c>
      <c r="I41" s="1">
        <v>5</v>
      </c>
      <c r="J41" s="1">
        <v>45</v>
      </c>
      <c r="K41" s="1" t="s">
        <v>99</v>
      </c>
      <c r="L41" s="18">
        <v>585000</v>
      </c>
      <c r="M41" s="18">
        <v>585000</v>
      </c>
      <c r="N41" s="18">
        <v>0</v>
      </c>
    </row>
    <row r="42" spans="2:14" x14ac:dyDescent="0.4">
      <c r="B42" s="1" t="s">
        <v>96</v>
      </c>
      <c r="C42" s="1" t="s">
        <v>51</v>
      </c>
      <c r="D42" s="1" t="s">
        <v>68</v>
      </c>
      <c r="E42" s="1">
        <v>85</v>
      </c>
      <c r="F42" s="1">
        <v>3</v>
      </c>
      <c r="G42" s="1" t="s">
        <v>101</v>
      </c>
      <c r="H42" s="1" t="s">
        <v>133</v>
      </c>
      <c r="I42" s="1">
        <v>5</v>
      </c>
      <c r="J42" s="1">
        <v>40</v>
      </c>
      <c r="K42" s="1" t="s">
        <v>99</v>
      </c>
      <c r="L42" s="18">
        <v>520000</v>
      </c>
      <c r="M42" s="18">
        <v>468000</v>
      </c>
      <c r="N42" s="18">
        <v>52000</v>
      </c>
    </row>
  </sheetData>
  <phoneticPr fontId="1" type="noConversion"/>
  <conditionalFormatting sqref="B3:N28">
    <cfRule type="expression" dxfId="0" priority="1">
      <formula>OR($L3=MAX($L$3:$L$28),$M3=MIN($M$3:$M$28))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&amp;R&amp;P페이지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B2:N28"/>
  <sheetViews>
    <sheetView workbookViewId="0">
      <selection activeCell="N35" sqref="N35"/>
    </sheetView>
  </sheetViews>
  <sheetFormatPr defaultColWidth="9" defaultRowHeight="17.399999999999999" x14ac:dyDescent="0.4"/>
  <cols>
    <col min="1" max="1" width="4.09765625" customWidth="1"/>
    <col min="2" max="2" width="9.19921875" bestFit="1" customWidth="1"/>
    <col min="3" max="3" width="8.59765625" customWidth="1"/>
    <col min="4" max="5" width="8.19921875" customWidth="1"/>
    <col min="6" max="6" width="11.19921875" bestFit="1" customWidth="1"/>
    <col min="7" max="7" width="11.8984375" customWidth="1"/>
    <col min="8" max="8" width="11" customWidth="1"/>
    <col min="9" max="10" width="9.19921875" bestFit="1" customWidth="1"/>
    <col min="11" max="11" width="11.19921875" bestFit="1" customWidth="1"/>
    <col min="12" max="12" width="10.5" bestFit="1" customWidth="1"/>
    <col min="13" max="14" width="11.19921875" bestFit="1" customWidth="1"/>
  </cols>
  <sheetData>
    <row r="2" spans="2:14" x14ac:dyDescent="0.4">
      <c r="B2" s="5" t="s">
        <v>115</v>
      </c>
      <c r="C2" s="5" t="s">
        <v>116</v>
      </c>
      <c r="D2" s="5" t="s">
        <v>117</v>
      </c>
      <c r="E2" s="5" t="s">
        <v>118</v>
      </c>
      <c r="F2" s="5" t="s">
        <v>119</v>
      </c>
      <c r="G2" s="5" t="s">
        <v>120</v>
      </c>
      <c r="H2" s="5" t="s">
        <v>121</v>
      </c>
      <c r="I2" s="5" t="s">
        <v>122</v>
      </c>
      <c r="J2" s="5" t="s">
        <v>123</v>
      </c>
      <c r="K2" s="5" t="s">
        <v>124</v>
      </c>
      <c r="L2" s="5" t="s">
        <v>125</v>
      </c>
      <c r="M2" s="5" t="s">
        <v>126</v>
      </c>
      <c r="N2" s="5" t="s">
        <v>127</v>
      </c>
    </row>
    <row r="3" spans="2:14" x14ac:dyDescent="0.4">
      <c r="B3" s="1" t="s">
        <v>72</v>
      </c>
      <c r="C3" s="1" t="s">
        <v>63</v>
      </c>
      <c r="D3" s="1" t="s">
        <v>70</v>
      </c>
      <c r="E3" s="1">
        <v>67</v>
      </c>
      <c r="F3" s="1">
        <v>1</v>
      </c>
      <c r="G3" s="1" t="s">
        <v>128</v>
      </c>
      <c r="H3" s="1" t="s">
        <v>129</v>
      </c>
      <c r="I3" s="1">
        <v>4</v>
      </c>
      <c r="J3" s="1">
        <v>40</v>
      </c>
      <c r="K3" s="1" t="s">
        <v>98</v>
      </c>
      <c r="L3" s="17">
        <v>400000</v>
      </c>
      <c r="M3" s="17">
        <v>400000</v>
      </c>
      <c r="N3" s="18">
        <v>0</v>
      </c>
    </row>
    <row r="4" spans="2:14" x14ac:dyDescent="0.4">
      <c r="B4" s="1" t="s">
        <v>73</v>
      </c>
      <c r="C4" s="1" t="s">
        <v>65</v>
      </c>
      <c r="D4" s="1" t="s">
        <v>68</v>
      </c>
      <c r="E4" s="1">
        <v>84</v>
      </c>
      <c r="F4" s="1">
        <v>3</v>
      </c>
      <c r="G4" s="1" t="s">
        <v>130</v>
      </c>
      <c r="H4" s="1" t="s">
        <v>129</v>
      </c>
      <c r="I4" s="1">
        <v>1</v>
      </c>
      <c r="J4" s="1">
        <v>4</v>
      </c>
      <c r="K4" s="1" t="s">
        <v>98</v>
      </c>
      <c r="L4" s="18">
        <v>40000</v>
      </c>
      <c r="M4" s="18">
        <v>32000</v>
      </c>
      <c r="N4" s="18">
        <v>8000</v>
      </c>
    </row>
    <row r="5" spans="2:14" x14ac:dyDescent="0.4">
      <c r="B5" s="1" t="s">
        <v>74</v>
      </c>
      <c r="C5" s="1" t="s">
        <v>131</v>
      </c>
      <c r="D5" s="1" t="s">
        <v>70</v>
      </c>
      <c r="E5" s="1">
        <v>74</v>
      </c>
      <c r="F5" s="1">
        <v>2</v>
      </c>
      <c r="G5" s="1" t="s">
        <v>101</v>
      </c>
      <c r="H5" s="1" t="s">
        <v>132</v>
      </c>
      <c r="I5" s="1">
        <v>7</v>
      </c>
      <c r="J5" s="1">
        <v>35</v>
      </c>
      <c r="K5" s="1" t="s">
        <v>98</v>
      </c>
      <c r="L5" s="18">
        <v>350000</v>
      </c>
      <c r="M5" s="18">
        <v>315000</v>
      </c>
      <c r="N5" s="18">
        <v>35000</v>
      </c>
    </row>
    <row r="6" spans="2:14" x14ac:dyDescent="0.4">
      <c r="B6" s="1" t="s">
        <v>75</v>
      </c>
      <c r="C6" s="1" t="s">
        <v>43</v>
      </c>
      <c r="D6" s="1" t="s">
        <v>70</v>
      </c>
      <c r="E6" s="1">
        <v>79</v>
      </c>
      <c r="F6" s="1">
        <v>3</v>
      </c>
      <c r="G6" s="1" t="s">
        <v>101</v>
      </c>
      <c r="H6" s="1" t="s">
        <v>133</v>
      </c>
      <c r="I6" s="1">
        <v>3</v>
      </c>
      <c r="J6" s="1">
        <v>18</v>
      </c>
      <c r="K6" s="1" t="s">
        <v>98</v>
      </c>
      <c r="L6" s="18">
        <v>180000</v>
      </c>
      <c r="M6" s="18">
        <v>162000</v>
      </c>
      <c r="N6" s="18">
        <v>18000</v>
      </c>
    </row>
    <row r="7" spans="2:14" x14ac:dyDescent="0.4">
      <c r="B7" s="1" t="s">
        <v>76</v>
      </c>
      <c r="C7" s="1" t="s">
        <v>42</v>
      </c>
      <c r="D7" s="1" t="s">
        <v>68</v>
      </c>
      <c r="E7" s="1">
        <v>81</v>
      </c>
      <c r="F7" s="1">
        <v>5</v>
      </c>
      <c r="G7" s="1" t="s">
        <v>130</v>
      </c>
      <c r="H7" s="1" t="s">
        <v>134</v>
      </c>
      <c r="I7" s="1">
        <v>4</v>
      </c>
      <c r="J7" s="1">
        <v>24</v>
      </c>
      <c r="K7" s="1" t="s">
        <v>98</v>
      </c>
      <c r="L7" s="18">
        <v>240000</v>
      </c>
      <c r="M7" s="18">
        <v>192000</v>
      </c>
      <c r="N7" s="18">
        <v>48000</v>
      </c>
    </row>
    <row r="8" spans="2:14" x14ac:dyDescent="0.4">
      <c r="B8" s="1" t="s">
        <v>77</v>
      </c>
      <c r="C8" s="1" t="s">
        <v>135</v>
      </c>
      <c r="D8" s="1" t="s">
        <v>70</v>
      </c>
      <c r="E8" s="1">
        <v>93</v>
      </c>
      <c r="F8" s="1">
        <v>1</v>
      </c>
      <c r="G8" s="1" t="s">
        <v>128</v>
      </c>
      <c r="H8" s="1" t="s">
        <v>132</v>
      </c>
      <c r="I8" s="1">
        <v>4</v>
      </c>
      <c r="J8" s="1">
        <v>28</v>
      </c>
      <c r="K8" s="1" t="s">
        <v>98</v>
      </c>
      <c r="L8" s="18">
        <v>280000</v>
      </c>
      <c r="M8" s="18">
        <v>280000</v>
      </c>
      <c r="N8" s="18">
        <v>0</v>
      </c>
    </row>
    <row r="9" spans="2:14" x14ac:dyDescent="0.4">
      <c r="B9" s="1" t="s">
        <v>78</v>
      </c>
      <c r="C9" s="1" t="s">
        <v>47</v>
      </c>
      <c r="D9" s="1" t="s">
        <v>68</v>
      </c>
      <c r="E9" s="1">
        <v>64</v>
      </c>
      <c r="F9" s="1">
        <v>5</v>
      </c>
      <c r="G9" s="1" t="s">
        <v>101</v>
      </c>
      <c r="H9" s="1" t="s">
        <v>133</v>
      </c>
      <c r="I9" s="1">
        <v>2</v>
      </c>
      <c r="J9" s="1">
        <v>12</v>
      </c>
      <c r="K9" s="1" t="s">
        <v>99</v>
      </c>
      <c r="L9" s="18">
        <v>156000</v>
      </c>
      <c r="M9" s="18">
        <v>140400</v>
      </c>
      <c r="N9" s="18">
        <v>15600</v>
      </c>
    </row>
    <row r="10" spans="2:14" x14ac:dyDescent="0.4">
      <c r="B10" s="1" t="s">
        <v>79</v>
      </c>
      <c r="C10" s="1" t="s">
        <v>53</v>
      </c>
      <c r="D10" s="1" t="s">
        <v>70</v>
      </c>
      <c r="E10" s="1">
        <v>80</v>
      </c>
      <c r="F10" s="1">
        <v>4</v>
      </c>
      <c r="G10" s="1" t="s">
        <v>130</v>
      </c>
      <c r="H10" s="1" t="s">
        <v>129</v>
      </c>
      <c r="I10" s="1">
        <v>2</v>
      </c>
      <c r="J10" s="1">
        <v>12</v>
      </c>
      <c r="K10" s="1" t="s">
        <v>99</v>
      </c>
      <c r="L10" s="18">
        <v>156000</v>
      </c>
      <c r="M10" s="18">
        <v>124800</v>
      </c>
      <c r="N10" s="18">
        <v>31200</v>
      </c>
    </row>
    <row r="11" spans="2:14" x14ac:dyDescent="0.4">
      <c r="B11" s="1" t="s">
        <v>80</v>
      </c>
      <c r="C11" s="1" t="s">
        <v>66</v>
      </c>
      <c r="D11" s="1" t="s">
        <v>68</v>
      </c>
      <c r="E11" s="1">
        <v>93</v>
      </c>
      <c r="F11" s="1">
        <v>4</v>
      </c>
      <c r="G11" s="1" t="s">
        <v>130</v>
      </c>
      <c r="H11" s="1" t="s">
        <v>132</v>
      </c>
      <c r="I11" s="1">
        <v>4</v>
      </c>
      <c r="J11" s="1">
        <v>24</v>
      </c>
      <c r="K11" s="1" t="s">
        <v>100</v>
      </c>
      <c r="L11" s="18">
        <v>288000</v>
      </c>
      <c r="M11" s="18">
        <v>230400</v>
      </c>
      <c r="N11" s="18">
        <v>57600</v>
      </c>
    </row>
    <row r="12" spans="2:14" x14ac:dyDescent="0.4">
      <c r="B12" s="1" t="s">
        <v>81</v>
      </c>
      <c r="C12" s="1" t="s">
        <v>59</v>
      </c>
      <c r="D12" s="1" t="s">
        <v>68</v>
      </c>
      <c r="E12" s="1">
        <v>50</v>
      </c>
      <c r="F12" s="1">
        <v>2</v>
      </c>
      <c r="G12" s="1" t="s">
        <v>101</v>
      </c>
      <c r="H12" s="1" t="s">
        <v>132</v>
      </c>
      <c r="I12" s="1">
        <v>3</v>
      </c>
      <c r="J12" s="1">
        <v>18</v>
      </c>
      <c r="K12" s="1" t="s">
        <v>98</v>
      </c>
      <c r="L12" s="18">
        <v>180000</v>
      </c>
      <c r="M12" s="18">
        <v>162000</v>
      </c>
      <c r="N12" s="18">
        <v>18000</v>
      </c>
    </row>
    <row r="13" spans="2:14" x14ac:dyDescent="0.4">
      <c r="B13" s="1" t="s">
        <v>82</v>
      </c>
      <c r="C13" s="1" t="s">
        <v>136</v>
      </c>
      <c r="D13" s="1" t="s">
        <v>70</v>
      </c>
      <c r="E13" s="1">
        <v>95</v>
      </c>
      <c r="F13" s="1">
        <v>1</v>
      </c>
      <c r="G13" s="1" t="s">
        <v>130</v>
      </c>
      <c r="H13" s="1" t="s">
        <v>129</v>
      </c>
      <c r="I13" s="1">
        <v>3</v>
      </c>
      <c r="J13" s="1">
        <v>27</v>
      </c>
      <c r="K13" s="1" t="s">
        <v>98</v>
      </c>
      <c r="L13" s="18">
        <v>270000</v>
      </c>
      <c r="M13" s="18">
        <v>216000</v>
      </c>
      <c r="N13" s="18">
        <v>54000</v>
      </c>
    </row>
    <row r="14" spans="2:14" x14ac:dyDescent="0.4">
      <c r="B14" s="1" t="s">
        <v>83</v>
      </c>
      <c r="C14" s="1" t="s">
        <v>46</v>
      </c>
      <c r="D14" s="1" t="s">
        <v>68</v>
      </c>
      <c r="E14" s="1">
        <v>65</v>
      </c>
      <c r="F14" s="1">
        <v>1</v>
      </c>
      <c r="G14" s="1" t="s">
        <v>128</v>
      </c>
      <c r="H14" s="1" t="s">
        <v>132</v>
      </c>
      <c r="I14" s="1">
        <v>5</v>
      </c>
      <c r="J14" s="1">
        <v>20</v>
      </c>
      <c r="K14" s="1" t="s">
        <v>98</v>
      </c>
      <c r="L14" s="18">
        <v>200000</v>
      </c>
      <c r="M14" s="18">
        <v>200000</v>
      </c>
      <c r="N14" s="18">
        <v>0</v>
      </c>
    </row>
    <row r="15" spans="2:14" x14ac:dyDescent="0.4">
      <c r="B15" s="1" t="s">
        <v>84</v>
      </c>
      <c r="C15" s="1" t="s">
        <v>60</v>
      </c>
      <c r="D15" s="1" t="s">
        <v>70</v>
      </c>
      <c r="E15" s="1">
        <v>73</v>
      </c>
      <c r="F15" s="1">
        <v>5</v>
      </c>
      <c r="G15" s="1" t="s">
        <v>128</v>
      </c>
      <c r="H15" s="1" t="s">
        <v>133</v>
      </c>
      <c r="I15" s="1">
        <v>7</v>
      </c>
      <c r="J15" s="1">
        <v>59</v>
      </c>
      <c r="K15" s="1" t="s">
        <v>100</v>
      </c>
      <c r="L15" s="18">
        <v>650000</v>
      </c>
      <c r="M15" s="18">
        <v>500000</v>
      </c>
      <c r="N15" s="18">
        <v>150000</v>
      </c>
    </row>
    <row r="16" spans="2:14" x14ac:dyDescent="0.4">
      <c r="B16" s="1" t="s">
        <v>85</v>
      </c>
      <c r="C16" s="1" t="s">
        <v>45</v>
      </c>
      <c r="D16" s="1" t="s">
        <v>68</v>
      </c>
      <c r="E16" s="1">
        <v>82</v>
      </c>
      <c r="F16" s="1">
        <v>1</v>
      </c>
      <c r="G16" s="1" t="s">
        <v>101</v>
      </c>
      <c r="H16" s="1" t="s">
        <v>129</v>
      </c>
      <c r="I16" s="1">
        <v>6</v>
      </c>
      <c r="J16" s="1">
        <v>54</v>
      </c>
      <c r="K16" s="1" t="s">
        <v>100</v>
      </c>
      <c r="L16" s="18">
        <v>648000</v>
      </c>
      <c r="M16" s="18">
        <v>583200</v>
      </c>
      <c r="N16" s="18">
        <v>64800</v>
      </c>
    </row>
    <row r="17" spans="2:14" x14ac:dyDescent="0.4">
      <c r="B17" s="1" t="s">
        <v>86</v>
      </c>
      <c r="C17" s="1" t="s">
        <v>49</v>
      </c>
      <c r="D17" s="1" t="s">
        <v>68</v>
      </c>
      <c r="E17" s="1">
        <v>51</v>
      </c>
      <c r="F17" s="1">
        <v>2</v>
      </c>
      <c r="G17" s="1" t="s">
        <v>101</v>
      </c>
      <c r="H17" s="1" t="s">
        <v>129</v>
      </c>
      <c r="I17" s="1">
        <v>2</v>
      </c>
      <c r="J17" s="1">
        <v>16</v>
      </c>
      <c r="K17" s="1" t="s">
        <v>100</v>
      </c>
      <c r="L17" s="18">
        <v>192000</v>
      </c>
      <c r="M17" s="18">
        <v>172800</v>
      </c>
      <c r="N17" s="18">
        <v>19200</v>
      </c>
    </row>
    <row r="18" spans="2:14" x14ac:dyDescent="0.4">
      <c r="B18" s="1" t="s">
        <v>87</v>
      </c>
      <c r="C18" s="1" t="s">
        <v>44</v>
      </c>
      <c r="D18" s="1" t="s">
        <v>68</v>
      </c>
      <c r="E18" s="1">
        <v>83</v>
      </c>
      <c r="F18" s="1">
        <v>1</v>
      </c>
      <c r="G18" s="1" t="s">
        <v>128</v>
      </c>
      <c r="H18" s="1" t="s">
        <v>134</v>
      </c>
      <c r="I18" s="1">
        <v>1</v>
      </c>
      <c r="J18" s="1">
        <v>4</v>
      </c>
      <c r="K18" s="1" t="s">
        <v>98</v>
      </c>
      <c r="L18" s="18">
        <v>40000</v>
      </c>
      <c r="M18" s="18">
        <v>40000</v>
      </c>
      <c r="N18" s="18">
        <v>0</v>
      </c>
    </row>
    <row r="19" spans="2:14" x14ac:dyDescent="0.4">
      <c r="B19" s="1" t="s">
        <v>88</v>
      </c>
      <c r="C19" s="1" t="s">
        <v>61</v>
      </c>
      <c r="D19" s="1" t="s">
        <v>70</v>
      </c>
      <c r="E19" s="1">
        <v>56</v>
      </c>
      <c r="F19" s="1">
        <v>1</v>
      </c>
      <c r="G19" s="1" t="s">
        <v>128</v>
      </c>
      <c r="H19" s="1" t="s">
        <v>134</v>
      </c>
      <c r="I19" s="1">
        <v>6</v>
      </c>
      <c r="J19" s="1">
        <v>54</v>
      </c>
      <c r="K19" s="1" t="s">
        <v>98</v>
      </c>
      <c r="L19" s="18">
        <v>540000</v>
      </c>
      <c r="M19" s="18">
        <v>540000</v>
      </c>
      <c r="N19" s="18">
        <v>0</v>
      </c>
    </row>
    <row r="20" spans="2:14" x14ac:dyDescent="0.4">
      <c r="B20" s="1" t="s">
        <v>89</v>
      </c>
      <c r="C20" s="1" t="s">
        <v>52</v>
      </c>
      <c r="D20" s="1" t="s">
        <v>68</v>
      </c>
      <c r="E20" s="1">
        <v>89</v>
      </c>
      <c r="F20" s="1">
        <v>2</v>
      </c>
      <c r="G20" s="1" t="s">
        <v>130</v>
      </c>
      <c r="H20" s="1" t="s">
        <v>132</v>
      </c>
      <c r="I20" s="1">
        <v>6</v>
      </c>
      <c r="J20" s="1">
        <v>36</v>
      </c>
      <c r="K20" s="1" t="s">
        <v>98</v>
      </c>
      <c r="L20" s="18">
        <v>360000</v>
      </c>
      <c r="M20" s="18">
        <v>288000</v>
      </c>
      <c r="N20" s="18">
        <v>72000</v>
      </c>
    </row>
    <row r="21" spans="2:14" x14ac:dyDescent="0.4">
      <c r="B21" s="1" t="s">
        <v>90</v>
      </c>
      <c r="C21" s="1" t="s">
        <v>56</v>
      </c>
      <c r="D21" s="1" t="s">
        <v>68</v>
      </c>
      <c r="E21" s="1">
        <v>88</v>
      </c>
      <c r="F21" s="1">
        <v>5</v>
      </c>
      <c r="G21" s="1" t="s">
        <v>128</v>
      </c>
      <c r="H21" s="1" t="s">
        <v>134</v>
      </c>
      <c r="I21" s="1">
        <v>7</v>
      </c>
      <c r="J21" s="1">
        <v>28</v>
      </c>
      <c r="K21" s="1" t="s">
        <v>99</v>
      </c>
      <c r="L21" s="18">
        <v>364000</v>
      </c>
      <c r="M21" s="18">
        <v>364000</v>
      </c>
      <c r="N21" s="18">
        <v>0</v>
      </c>
    </row>
    <row r="22" spans="2:14" x14ac:dyDescent="0.4">
      <c r="B22" s="1" t="s">
        <v>91</v>
      </c>
      <c r="C22" s="1" t="s">
        <v>64</v>
      </c>
      <c r="D22" s="1" t="s">
        <v>68</v>
      </c>
      <c r="E22" s="1">
        <v>64</v>
      </c>
      <c r="F22" s="1">
        <v>5</v>
      </c>
      <c r="G22" s="1" t="s">
        <v>130</v>
      </c>
      <c r="H22" s="1" t="s">
        <v>134</v>
      </c>
      <c r="I22" s="1">
        <v>2</v>
      </c>
      <c r="J22" s="1">
        <v>8</v>
      </c>
      <c r="K22" s="1" t="s">
        <v>99</v>
      </c>
      <c r="L22" s="18">
        <v>104000</v>
      </c>
      <c r="M22" s="18">
        <v>83200</v>
      </c>
      <c r="N22" s="18">
        <v>20800</v>
      </c>
    </row>
    <row r="23" spans="2:14" x14ac:dyDescent="0.4">
      <c r="B23" s="1" t="s">
        <v>92</v>
      </c>
      <c r="C23" s="1" t="s">
        <v>48</v>
      </c>
      <c r="D23" s="1" t="s">
        <v>68</v>
      </c>
      <c r="E23" s="1">
        <v>89</v>
      </c>
      <c r="F23" s="1">
        <v>3</v>
      </c>
      <c r="G23" s="1" t="s">
        <v>128</v>
      </c>
      <c r="H23" s="1" t="s">
        <v>134</v>
      </c>
      <c r="I23" s="1">
        <v>1</v>
      </c>
      <c r="J23" s="1">
        <v>4</v>
      </c>
      <c r="K23" s="1" t="s">
        <v>100</v>
      </c>
      <c r="L23" s="18">
        <v>48000</v>
      </c>
      <c r="M23" s="18">
        <v>48000</v>
      </c>
      <c r="N23" s="18">
        <v>0</v>
      </c>
    </row>
    <row r="24" spans="2:14" x14ac:dyDescent="0.4">
      <c r="B24" s="1" t="s">
        <v>93</v>
      </c>
      <c r="C24" s="1" t="s">
        <v>67</v>
      </c>
      <c r="D24" s="1" t="s">
        <v>68</v>
      </c>
      <c r="E24" s="1">
        <v>53</v>
      </c>
      <c r="F24" s="1">
        <v>1</v>
      </c>
      <c r="G24" s="1" t="s">
        <v>128</v>
      </c>
      <c r="H24" s="1" t="s">
        <v>134</v>
      </c>
      <c r="I24" s="1">
        <v>5</v>
      </c>
      <c r="J24" s="1">
        <v>45</v>
      </c>
      <c r="K24" s="1" t="s">
        <v>99</v>
      </c>
      <c r="L24" s="18">
        <v>585000</v>
      </c>
      <c r="M24" s="18">
        <v>585000</v>
      </c>
      <c r="N24" s="18">
        <v>0</v>
      </c>
    </row>
    <row r="25" spans="2:14" x14ac:dyDescent="0.4">
      <c r="B25" s="1" t="s">
        <v>94</v>
      </c>
      <c r="C25" s="1" t="s">
        <v>137</v>
      </c>
      <c r="D25" s="1" t="s">
        <v>70</v>
      </c>
      <c r="E25" s="1">
        <v>53</v>
      </c>
      <c r="F25" s="1">
        <v>4</v>
      </c>
      <c r="G25" s="1" t="s">
        <v>101</v>
      </c>
      <c r="H25" s="1" t="s">
        <v>133</v>
      </c>
      <c r="I25" s="1">
        <v>1</v>
      </c>
      <c r="J25" s="1">
        <v>8</v>
      </c>
      <c r="K25" s="1" t="s">
        <v>98</v>
      </c>
      <c r="L25" s="18">
        <v>80000</v>
      </c>
      <c r="M25" s="18">
        <v>72000</v>
      </c>
      <c r="N25" s="18">
        <v>8000</v>
      </c>
    </row>
    <row r="26" spans="2:14" x14ac:dyDescent="0.4">
      <c r="B26" s="1" t="s">
        <v>95</v>
      </c>
      <c r="C26" s="1" t="s">
        <v>62</v>
      </c>
      <c r="D26" s="1" t="s">
        <v>68</v>
      </c>
      <c r="E26" s="1">
        <v>77</v>
      </c>
      <c r="F26" s="1">
        <v>1</v>
      </c>
      <c r="G26" s="1" t="s">
        <v>130</v>
      </c>
      <c r="H26" s="1" t="s">
        <v>129</v>
      </c>
      <c r="I26" s="1">
        <v>7</v>
      </c>
      <c r="J26" s="1">
        <v>70</v>
      </c>
      <c r="K26" s="1" t="s">
        <v>98</v>
      </c>
      <c r="L26" s="18">
        <v>700000</v>
      </c>
      <c r="M26" s="18">
        <v>560000</v>
      </c>
      <c r="N26" s="18">
        <v>140000</v>
      </c>
    </row>
    <row r="27" spans="2:14" x14ac:dyDescent="0.4">
      <c r="B27" s="1" t="s">
        <v>96</v>
      </c>
      <c r="C27" s="1" t="s">
        <v>51</v>
      </c>
      <c r="D27" s="1" t="s">
        <v>68</v>
      </c>
      <c r="E27" s="1">
        <v>85</v>
      </c>
      <c r="F27" s="1">
        <v>3</v>
      </c>
      <c r="G27" s="1" t="s">
        <v>101</v>
      </c>
      <c r="H27" s="1" t="s">
        <v>133</v>
      </c>
      <c r="I27" s="1">
        <v>5</v>
      </c>
      <c r="J27" s="1">
        <v>40</v>
      </c>
      <c r="K27" s="1" t="s">
        <v>99</v>
      </c>
      <c r="L27" s="18">
        <v>520000</v>
      </c>
      <c r="M27" s="18">
        <v>468000</v>
      </c>
      <c r="N27" s="18">
        <v>52000</v>
      </c>
    </row>
    <row r="28" spans="2:14" x14ac:dyDescent="0.4">
      <c r="B28" s="1" t="s">
        <v>97</v>
      </c>
      <c r="C28" s="1" t="s">
        <v>58</v>
      </c>
      <c r="D28" s="1" t="s">
        <v>70</v>
      </c>
      <c r="E28" s="1">
        <v>79</v>
      </c>
      <c r="F28" s="1">
        <v>5</v>
      </c>
      <c r="G28" s="1" t="s">
        <v>130</v>
      </c>
      <c r="H28" s="1" t="s">
        <v>133</v>
      </c>
      <c r="I28" s="1">
        <v>2</v>
      </c>
      <c r="J28" s="1">
        <v>16</v>
      </c>
      <c r="K28" s="1" t="s">
        <v>100</v>
      </c>
      <c r="L28" s="18">
        <v>192000</v>
      </c>
      <c r="M28" s="18">
        <v>153600</v>
      </c>
      <c r="N28" s="18">
        <v>38400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O55"/>
  <sheetViews>
    <sheetView tabSelected="1" topLeftCell="A34" zoomScaleNormal="100" workbookViewId="0">
      <selection activeCell="H46" sqref="H46"/>
    </sheetView>
  </sheetViews>
  <sheetFormatPr defaultRowHeight="17.399999999999999" x14ac:dyDescent="0.4"/>
  <cols>
    <col min="1" max="1" width="2" customWidth="1"/>
    <col min="2" max="2" width="11.19921875" customWidth="1"/>
    <col min="3" max="3" width="13" bestFit="1" customWidth="1"/>
    <col min="4" max="4" width="11" bestFit="1" customWidth="1"/>
    <col min="5" max="5" width="9.3984375" bestFit="1" customWidth="1"/>
    <col min="6" max="6" width="11.3984375" bestFit="1" customWidth="1"/>
    <col min="7" max="7" width="11.19921875" bestFit="1" customWidth="1"/>
    <col min="8" max="8" width="10.3984375" customWidth="1"/>
    <col min="9" max="9" width="11.09765625" customWidth="1"/>
    <col min="10" max="10" width="17.19921875" bestFit="1" customWidth="1"/>
    <col min="11" max="11" width="11.19921875" bestFit="1" customWidth="1"/>
    <col min="12" max="12" width="10" bestFit="1" customWidth="1"/>
    <col min="13" max="15" width="13" bestFit="1" customWidth="1"/>
  </cols>
  <sheetData>
    <row r="2" spans="2:15" x14ac:dyDescent="0.4">
      <c r="B2" t="s">
        <v>36</v>
      </c>
    </row>
    <row r="3" spans="2:15" x14ac:dyDescent="0.4"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H3" s="5" t="s">
        <v>7</v>
      </c>
      <c r="I3" s="5" t="s">
        <v>8</v>
      </c>
      <c r="J3" s="5" t="s">
        <v>9</v>
      </c>
      <c r="K3" s="5" t="s">
        <v>10</v>
      </c>
      <c r="L3" s="5" t="s">
        <v>11</v>
      </c>
      <c r="M3" s="20" t="s">
        <v>12</v>
      </c>
      <c r="N3" s="5" t="s">
        <v>13</v>
      </c>
      <c r="O3" s="20" t="s">
        <v>14</v>
      </c>
    </row>
    <row r="4" spans="2:15" x14ac:dyDescent="0.4">
      <c r="B4" s="1" t="s">
        <v>72</v>
      </c>
      <c r="C4" s="1" t="s">
        <v>63</v>
      </c>
      <c r="D4" s="1" t="s">
        <v>71</v>
      </c>
      <c r="E4" s="1">
        <v>67</v>
      </c>
      <c r="F4" s="1">
        <v>1</v>
      </c>
      <c r="G4" s="1" t="s">
        <v>19</v>
      </c>
      <c r="H4" s="1" t="s">
        <v>17</v>
      </c>
      <c r="I4" s="1">
        <v>4</v>
      </c>
      <c r="J4" s="1">
        <v>40</v>
      </c>
      <c r="K4" s="1" t="s">
        <v>16</v>
      </c>
      <c r="L4" s="3">
        <f>J4*IF(K4="평일",10000,IF(K4="심야",12000,13000))</f>
        <v>400000</v>
      </c>
      <c r="M4" s="3">
        <f>IF($L4*(1-VLOOKUP(G4,$I$33:$J$35,2,FALSE))&gt;HLOOKUP(F4,$C$32:$G$33,2,FALSE),HLOOKUP(F4,$C$32:$G$33,2,FALSE),$L4*(1-VLOOKUP(G4,$I$33:$J$35,2,FALSE)))</f>
        <v>400000</v>
      </c>
      <c r="N4" s="10">
        <v>0</v>
      </c>
      <c r="O4" s="1" t="str" cm="1">
        <f t="array" ref="O4">fn기타(F4,G4)</f>
        <v>관심대상</v>
      </c>
    </row>
    <row r="5" spans="2:15" x14ac:dyDescent="0.4">
      <c r="B5" s="1" t="s">
        <v>73</v>
      </c>
      <c r="C5" s="1" t="s">
        <v>65</v>
      </c>
      <c r="D5" s="1" t="s">
        <v>69</v>
      </c>
      <c r="E5" s="1">
        <v>84</v>
      </c>
      <c r="F5" s="1">
        <v>3</v>
      </c>
      <c r="G5" s="1" t="s">
        <v>0</v>
      </c>
      <c r="H5" s="1" t="s">
        <v>17</v>
      </c>
      <c r="I5" s="1">
        <v>1</v>
      </c>
      <c r="J5" s="1">
        <v>4</v>
      </c>
      <c r="K5" s="1" t="s">
        <v>16</v>
      </c>
      <c r="L5" s="3">
        <f t="shared" ref="L5:L29" si="0">J5*IF(K5="평일",10000,IF(K5="심야",12000,13000))</f>
        <v>40000</v>
      </c>
      <c r="M5" s="3">
        <f t="shared" ref="M5:M29" si="1">IF($L5*(1-VLOOKUP(G5,$I$33:$J$35,2,FALSE))&gt;HLOOKUP(F5,$C$32:$G$33,2,FALSE),HLOOKUP(F5,$C$32:$G$33,2,FALSE),$L5*(1-VLOOKUP(G5,$I$33:$J$35,2,FALSE)))</f>
        <v>32000</v>
      </c>
      <c r="N5" s="10">
        <v>8000</v>
      </c>
      <c r="O5" s="1" t="str" cm="1">
        <f t="array" ref="O5">fn기타(F5,G5)</f>
        <v/>
      </c>
    </row>
    <row r="6" spans="2:15" x14ac:dyDescent="0.4">
      <c r="B6" s="1" t="s">
        <v>74</v>
      </c>
      <c r="C6" s="1" t="s">
        <v>55</v>
      </c>
      <c r="D6" s="1" t="s">
        <v>71</v>
      </c>
      <c r="E6" s="1">
        <v>74</v>
      </c>
      <c r="F6" s="1">
        <v>2</v>
      </c>
      <c r="G6" s="1" t="s">
        <v>14</v>
      </c>
      <c r="H6" s="1" t="s">
        <v>20</v>
      </c>
      <c r="I6" s="1">
        <v>7</v>
      </c>
      <c r="J6" s="1">
        <v>35</v>
      </c>
      <c r="K6" s="12" t="s">
        <v>16</v>
      </c>
      <c r="L6" s="3">
        <f t="shared" si="0"/>
        <v>350000</v>
      </c>
      <c r="M6" s="3">
        <f t="shared" si="1"/>
        <v>315000</v>
      </c>
      <c r="N6" s="10">
        <v>35000</v>
      </c>
      <c r="O6" s="1" t="str" cm="1">
        <f t="array" ref="O6">fn기타(F6,G6)</f>
        <v/>
      </c>
    </row>
    <row r="7" spans="2:15" x14ac:dyDescent="0.4">
      <c r="B7" s="1" t="s">
        <v>75</v>
      </c>
      <c r="C7" s="1" t="s">
        <v>43</v>
      </c>
      <c r="D7" s="1" t="s">
        <v>71</v>
      </c>
      <c r="E7" s="1">
        <v>79</v>
      </c>
      <c r="F7" s="1">
        <v>3</v>
      </c>
      <c r="G7" s="1" t="s">
        <v>14</v>
      </c>
      <c r="H7" s="1" t="s">
        <v>22</v>
      </c>
      <c r="I7" s="1">
        <v>3</v>
      </c>
      <c r="J7" s="1">
        <v>18</v>
      </c>
      <c r="K7" s="1" t="s">
        <v>16</v>
      </c>
      <c r="L7" s="3">
        <f t="shared" si="0"/>
        <v>180000</v>
      </c>
      <c r="M7" s="3">
        <f t="shared" si="1"/>
        <v>162000</v>
      </c>
      <c r="N7" s="10">
        <v>18000</v>
      </c>
      <c r="O7" s="1" t="str" cm="1">
        <f t="array" ref="O7">fn기타(F7,G7)</f>
        <v/>
      </c>
    </row>
    <row r="8" spans="2:15" x14ac:dyDescent="0.4">
      <c r="B8" s="1" t="s">
        <v>76</v>
      </c>
      <c r="C8" s="1" t="s">
        <v>42</v>
      </c>
      <c r="D8" s="1" t="s">
        <v>69</v>
      </c>
      <c r="E8" s="1">
        <v>81</v>
      </c>
      <c r="F8" s="1">
        <v>5</v>
      </c>
      <c r="G8" s="1" t="s">
        <v>0</v>
      </c>
      <c r="H8" s="1" t="s">
        <v>15</v>
      </c>
      <c r="I8" s="1">
        <v>4</v>
      </c>
      <c r="J8" s="1">
        <v>24</v>
      </c>
      <c r="K8" s="12" t="s">
        <v>16</v>
      </c>
      <c r="L8" s="3">
        <f t="shared" si="0"/>
        <v>240000</v>
      </c>
      <c r="M8" s="3">
        <f t="shared" si="1"/>
        <v>192000</v>
      </c>
      <c r="N8" s="10">
        <v>48000</v>
      </c>
      <c r="O8" s="1" t="str" cm="1">
        <f t="array" ref="O8">fn기타(F8,G8)</f>
        <v>치매</v>
      </c>
    </row>
    <row r="9" spans="2:15" x14ac:dyDescent="0.4">
      <c r="B9" s="1" t="s">
        <v>77</v>
      </c>
      <c r="C9" s="1" t="s">
        <v>57</v>
      </c>
      <c r="D9" s="1" t="s">
        <v>71</v>
      </c>
      <c r="E9" s="1">
        <v>93</v>
      </c>
      <c r="F9" s="1">
        <v>1</v>
      </c>
      <c r="G9" s="1" t="s">
        <v>19</v>
      </c>
      <c r="H9" s="1" t="s">
        <v>20</v>
      </c>
      <c r="I9" s="1">
        <v>4</v>
      </c>
      <c r="J9" s="1">
        <v>28</v>
      </c>
      <c r="K9" s="1" t="s">
        <v>16</v>
      </c>
      <c r="L9" s="3">
        <f t="shared" si="0"/>
        <v>280000</v>
      </c>
      <c r="M9" s="3">
        <f t="shared" si="1"/>
        <v>280000</v>
      </c>
      <c r="N9" s="10">
        <v>0</v>
      </c>
      <c r="O9" s="1" t="str" cm="1">
        <f t="array" ref="O9">fn기타(F9,G9)</f>
        <v>관심대상</v>
      </c>
    </row>
    <row r="10" spans="2:15" x14ac:dyDescent="0.4">
      <c r="B10" s="1" t="s">
        <v>78</v>
      </c>
      <c r="C10" s="1" t="s">
        <v>47</v>
      </c>
      <c r="D10" s="1" t="s">
        <v>69</v>
      </c>
      <c r="E10" s="1">
        <v>64</v>
      </c>
      <c r="F10" s="1">
        <v>5</v>
      </c>
      <c r="G10" s="1" t="s">
        <v>14</v>
      </c>
      <c r="H10" s="1" t="s">
        <v>22</v>
      </c>
      <c r="I10" s="1">
        <v>2</v>
      </c>
      <c r="J10" s="1">
        <v>12</v>
      </c>
      <c r="K10" s="1" t="s">
        <v>21</v>
      </c>
      <c r="L10" s="3">
        <f t="shared" si="0"/>
        <v>156000</v>
      </c>
      <c r="M10" s="3">
        <f t="shared" si="1"/>
        <v>140400</v>
      </c>
      <c r="N10" s="10">
        <v>15600</v>
      </c>
      <c r="O10" s="1" t="str" cm="1">
        <f t="array" ref="O10">fn기타(F10,G10)</f>
        <v>치매</v>
      </c>
    </row>
    <row r="11" spans="2:15" x14ac:dyDescent="0.4">
      <c r="B11" s="1" t="s">
        <v>79</v>
      </c>
      <c r="C11" s="1" t="s">
        <v>53</v>
      </c>
      <c r="D11" s="1" t="s">
        <v>71</v>
      </c>
      <c r="E11" s="1">
        <v>80</v>
      </c>
      <c r="F11" s="1">
        <v>4</v>
      </c>
      <c r="G11" s="1" t="s">
        <v>0</v>
      </c>
      <c r="H11" s="1" t="s">
        <v>17</v>
      </c>
      <c r="I11" s="1">
        <v>2</v>
      </c>
      <c r="J11" s="1">
        <v>12</v>
      </c>
      <c r="K11" s="12" t="s">
        <v>21</v>
      </c>
      <c r="L11" s="3">
        <f t="shared" si="0"/>
        <v>156000</v>
      </c>
      <c r="M11" s="3">
        <f t="shared" si="1"/>
        <v>124800</v>
      </c>
      <c r="N11" s="10">
        <v>31200</v>
      </c>
      <c r="O11" s="1" t="str" cm="1">
        <f t="array" ref="O11">fn기타(F11,G11)</f>
        <v/>
      </c>
    </row>
    <row r="12" spans="2:15" x14ac:dyDescent="0.4">
      <c r="B12" s="1" t="s">
        <v>80</v>
      </c>
      <c r="C12" s="1" t="s">
        <v>66</v>
      </c>
      <c r="D12" s="1" t="s">
        <v>69</v>
      </c>
      <c r="E12" s="1">
        <v>93</v>
      </c>
      <c r="F12" s="1">
        <v>4</v>
      </c>
      <c r="G12" s="1" t="s">
        <v>0</v>
      </c>
      <c r="H12" s="1" t="s">
        <v>20</v>
      </c>
      <c r="I12" s="1">
        <v>4</v>
      </c>
      <c r="J12" s="1">
        <v>24</v>
      </c>
      <c r="K12" s="1" t="s">
        <v>18</v>
      </c>
      <c r="L12" s="3">
        <f t="shared" si="0"/>
        <v>288000</v>
      </c>
      <c r="M12" s="3">
        <f t="shared" si="1"/>
        <v>230400</v>
      </c>
      <c r="N12" s="10">
        <v>57600</v>
      </c>
      <c r="O12" s="1" t="str" cm="1">
        <f t="array" ref="O12">fn기타(F12,G12)</f>
        <v/>
      </c>
    </row>
    <row r="13" spans="2:15" x14ac:dyDescent="0.4">
      <c r="B13" s="1" t="s">
        <v>81</v>
      </c>
      <c r="C13" s="1" t="s">
        <v>59</v>
      </c>
      <c r="D13" s="1" t="s">
        <v>69</v>
      </c>
      <c r="E13" s="1">
        <v>50</v>
      </c>
      <c r="F13" s="1">
        <v>2</v>
      </c>
      <c r="G13" s="1" t="s">
        <v>14</v>
      </c>
      <c r="H13" s="1" t="s">
        <v>20</v>
      </c>
      <c r="I13" s="1">
        <v>3</v>
      </c>
      <c r="J13" s="1">
        <v>18</v>
      </c>
      <c r="K13" s="1" t="s">
        <v>16</v>
      </c>
      <c r="L13" s="3">
        <f t="shared" si="0"/>
        <v>180000</v>
      </c>
      <c r="M13" s="3">
        <f t="shared" si="1"/>
        <v>162000</v>
      </c>
      <c r="N13" s="10">
        <v>18000</v>
      </c>
      <c r="O13" s="1" t="str" cm="1">
        <f t="array" ref="O13">fn기타(F13,G13)</f>
        <v/>
      </c>
    </row>
    <row r="14" spans="2:15" x14ac:dyDescent="0.4">
      <c r="B14" s="1" t="s">
        <v>82</v>
      </c>
      <c r="C14" s="1" t="s">
        <v>54</v>
      </c>
      <c r="D14" s="1" t="s">
        <v>71</v>
      </c>
      <c r="E14" s="1">
        <v>95</v>
      </c>
      <c r="F14" s="1">
        <v>1</v>
      </c>
      <c r="G14" s="1" t="s">
        <v>0</v>
      </c>
      <c r="H14" s="1" t="s">
        <v>17</v>
      </c>
      <c r="I14" s="1">
        <v>3</v>
      </c>
      <c r="J14" s="1">
        <v>27</v>
      </c>
      <c r="K14" s="12" t="s">
        <v>16</v>
      </c>
      <c r="L14" s="3">
        <f t="shared" si="0"/>
        <v>270000</v>
      </c>
      <c r="M14" s="3">
        <f t="shared" si="1"/>
        <v>216000</v>
      </c>
      <c r="N14" s="10">
        <v>54000</v>
      </c>
      <c r="O14" s="1" t="str" cm="1">
        <f t="array" ref="O14">fn기타(F14,G14)</f>
        <v/>
      </c>
    </row>
    <row r="15" spans="2:15" x14ac:dyDescent="0.4">
      <c r="B15" s="1" t="s">
        <v>83</v>
      </c>
      <c r="C15" s="1" t="s">
        <v>46</v>
      </c>
      <c r="D15" s="1" t="s">
        <v>69</v>
      </c>
      <c r="E15" s="1">
        <v>65</v>
      </c>
      <c r="F15" s="1">
        <v>1</v>
      </c>
      <c r="G15" s="1" t="s">
        <v>19</v>
      </c>
      <c r="H15" s="1" t="s">
        <v>20</v>
      </c>
      <c r="I15" s="1">
        <v>5</v>
      </c>
      <c r="J15" s="1">
        <v>20</v>
      </c>
      <c r="K15" s="1" t="s">
        <v>16</v>
      </c>
      <c r="L15" s="3">
        <f t="shared" si="0"/>
        <v>200000</v>
      </c>
      <c r="M15" s="3">
        <f t="shared" si="1"/>
        <v>200000</v>
      </c>
      <c r="N15" s="10">
        <v>0</v>
      </c>
      <c r="O15" s="1" t="str" cm="1">
        <f t="array" ref="O15">fn기타(F15,G15)</f>
        <v>관심대상</v>
      </c>
    </row>
    <row r="16" spans="2:15" x14ac:dyDescent="0.4">
      <c r="B16" s="1" t="s">
        <v>84</v>
      </c>
      <c r="C16" s="1" t="s">
        <v>60</v>
      </c>
      <c r="D16" s="1" t="s">
        <v>71</v>
      </c>
      <c r="E16" s="1">
        <v>73</v>
      </c>
      <c r="F16" s="1">
        <v>5</v>
      </c>
      <c r="G16" s="1" t="s">
        <v>19</v>
      </c>
      <c r="H16" s="1" t="s">
        <v>22</v>
      </c>
      <c r="I16" s="1">
        <v>7</v>
      </c>
      <c r="J16" s="1">
        <v>59</v>
      </c>
      <c r="K16" s="1" t="s">
        <v>18</v>
      </c>
      <c r="L16" s="3">
        <v>650000</v>
      </c>
      <c r="M16" s="3">
        <f t="shared" si="1"/>
        <v>500000</v>
      </c>
      <c r="N16" s="10">
        <v>150000</v>
      </c>
      <c r="O16" s="1" t="str" cm="1">
        <f t="array" ref="O16">fn기타(F16,G16)</f>
        <v>치매</v>
      </c>
    </row>
    <row r="17" spans="2:15" x14ac:dyDescent="0.4">
      <c r="B17" s="1" t="s">
        <v>85</v>
      </c>
      <c r="C17" s="1" t="s">
        <v>45</v>
      </c>
      <c r="D17" s="1" t="s">
        <v>69</v>
      </c>
      <c r="E17" s="1">
        <v>82</v>
      </c>
      <c r="F17" s="1">
        <v>1</v>
      </c>
      <c r="G17" s="1" t="s">
        <v>14</v>
      </c>
      <c r="H17" s="1" t="s">
        <v>17</v>
      </c>
      <c r="I17" s="1">
        <v>6</v>
      </c>
      <c r="J17" s="1">
        <v>54</v>
      </c>
      <c r="K17" s="12" t="s">
        <v>18</v>
      </c>
      <c r="L17" s="3">
        <f t="shared" si="0"/>
        <v>648000</v>
      </c>
      <c r="M17" s="3">
        <f t="shared" si="1"/>
        <v>583200</v>
      </c>
      <c r="N17" s="10">
        <v>64800</v>
      </c>
      <c r="O17" s="1" t="str" cm="1">
        <f t="array" ref="O17">fn기타(F17,G17)</f>
        <v/>
      </c>
    </row>
    <row r="18" spans="2:15" x14ac:dyDescent="0.4">
      <c r="B18" s="1" t="s">
        <v>86</v>
      </c>
      <c r="C18" s="1" t="s">
        <v>49</v>
      </c>
      <c r="D18" s="1" t="s">
        <v>69</v>
      </c>
      <c r="E18" s="1">
        <v>51</v>
      </c>
      <c r="F18" s="1">
        <v>2</v>
      </c>
      <c r="G18" s="1" t="s">
        <v>14</v>
      </c>
      <c r="H18" s="1" t="s">
        <v>17</v>
      </c>
      <c r="I18" s="1">
        <v>2</v>
      </c>
      <c r="J18" s="1">
        <v>16</v>
      </c>
      <c r="K18" s="1" t="s">
        <v>18</v>
      </c>
      <c r="L18" s="3">
        <f t="shared" si="0"/>
        <v>192000</v>
      </c>
      <c r="M18" s="3">
        <f t="shared" si="1"/>
        <v>172800</v>
      </c>
      <c r="N18" s="10">
        <v>19200</v>
      </c>
      <c r="O18" s="1" t="str" cm="1">
        <f t="array" ref="O18">fn기타(F18,G18)</f>
        <v/>
      </c>
    </row>
    <row r="19" spans="2:15" x14ac:dyDescent="0.4">
      <c r="B19" s="1" t="s">
        <v>87</v>
      </c>
      <c r="C19" s="1" t="s">
        <v>44</v>
      </c>
      <c r="D19" s="1" t="s">
        <v>69</v>
      </c>
      <c r="E19" s="1">
        <v>83</v>
      </c>
      <c r="F19" s="1">
        <v>1</v>
      </c>
      <c r="G19" s="1" t="s">
        <v>19</v>
      </c>
      <c r="H19" s="1" t="s">
        <v>15</v>
      </c>
      <c r="I19" s="1">
        <v>1</v>
      </c>
      <c r="J19" s="1">
        <v>4</v>
      </c>
      <c r="K19" s="1" t="s">
        <v>16</v>
      </c>
      <c r="L19" s="3">
        <f t="shared" si="0"/>
        <v>40000</v>
      </c>
      <c r="M19" s="3">
        <f t="shared" si="1"/>
        <v>40000</v>
      </c>
      <c r="N19" s="10">
        <v>0</v>
      </c>
      <c r="O19" s="1" t="str" cm="1">
        <f t="array" ref="O19">fn기타(F19,G19)</f>
        <v>관심대상</v>
      </c>
    </row>
    <row r="20" spans="2:15" x14ac:dyDescent="0.4">
      <c r="B20" s="1" t="s">
        <v>88</v>
      </c>
      <c r="C20" s="1" t="s">
        <v>61</v>
      </c>
      <c r="D20" s="1" t="s">
        <v>71</v>
      </c>
      <c r="E20" s="1">
        <v>56</v>
      </c>
      <c r="F20" s="1">
        <v>1</v>
      </c>
      <c r="G20" s="1" t="s">
        <v>19</v>
      </c>
      <c r="H20" s="1" t="s">
        <v>15</v>
      </c>
      <c r="I20" s="1">
        <v>6</v>
      </c>
      <c r="J20" s="1">
        <v>54</v>
      </c>
      <c r="K20" s="1" t="s">
        <v>16</v>
      </c>
      <c r="L20" s="3">
        <f t="shared" si="0"/>
        <v>540000</v>
      </c>
      <c r="M20" s="3">
        <f t="shared" si="1"/>
        <v>540000</v>
      </c>
      <c r="N20" s="10">
        <v>0</v>
      </c>
      <c r="O20" s="1" t="str" cm="1">
        <f t="array" ref="O20">fn기타(F20,G20)</f>
        <v>관심대상</v>
      </c>
    </row>
    <row r="21" spans="2:15" x14ac:dyDescent="0.4">
      <c r="B21" s="1" t="s">
        <v>89</v>
      </c>
      <c r="C21" s="1" t="s">
        <v>52</v>
      </c>
      <c r="D21" s="1" t="s">
        <v>69</v>
      </c>
      <c r="E21" s="1">
        <v>89</v>
      </c>
      <c r="F21" s="1">
        <v>2</v>
      </c>
      <c r="G21" s="1" t="s">
        <v>0</v>
      </c>
      <c r="H21" s="1" t="s">
        <v>20</v>
      </c>
      <c r="I21" s="1">
        <v>6</v>
      </c>
      <c r="J21" s="1">
        <v>36</v>
      </c>
      <c r="K21" s="12" t="s">
        <v>16</v>
      </c>
      <c r="L21" s="3">
        <f>J21*IF(K21="평일",10000,IF(K21="심야",12000,13000))</f>
        <v>360000</v>
      </c>
      <c r="M21" s="3">
        <f t="shared" si="1"/>
        <v>288000</v>
      </c>
      <c r="N21" s="10">
        <v>72000</v>
      </c>
      <c r="O21" s="1" t="str" cm="1">
        <f t="array" ref="O21">fn기타(F21,G21)</f>
        <v/>
      </c>
    </row>
    <row r="22" spans="2:15" x14ac:dyDescent="0.4">
      <c r="B22" s="1" t="s">
        <v>90</v>
      </c>
      <c r="C22" s="1" t="s">
        <v>56</v>
      </c>
      <c r="D22" s="1" t="s">
        <v>69</v>
      </c>
      <c r="E22" s="1">
        <v>88</v>
      </c>
      <c r="F22" s="1">
        <v>5</v>
      </c>
      <c r="G22" s="1" t="s">
        <v>19</v>
      </c>
      <c r="H22" s="1" t="s">
        <v>15</v>
      </c>
      <c r="I22" s="1">
        <v>7</v>
      </c>
      <c r="J22" s="1">
        <v>28</v>
      </c>
      <c r="K22" s="1" t="s">
        <v>21</v>
      </c>
      <c r="L22" s="3">
        <f t="shared" si="0"/>
        <v>364000</v>
      </c>
      <c r="M22" s="3">
        <f t="shared" si="1"/>
        <v>364000</v>
      </c>
      <c r="N22" s="10">
        <v>0</v>
      </c>
      <c r="O22" s="1" t="str" cm="1">
        <f t="array" ref="O22">fn기타(F22,G22)</f>
        <v>치매</v>
      </c>
    </row>
    <row r="23" spans="2:15" x14ac:dyDescent="0.4">
      <c r="B23" s="1" t="s">
        <v>91</v>
      </c>
      <c r="C23" s="1" t="s">
        <v>64</v>
      </c>
      <c r="D23" s="1" t="s">
        <v>69</v>
      </c>
      <c r="E23" s="1">
        <v>64</v>
      </c>
      <c r="F23" s="1">
        <v>5</v>
      </c>
      <c r="G23" s="1" t="s">
        <v>0</v>
      </c>
      <c r="H23" s="1" t="s">
        <v>15</v>
      </c>
      <c r="I23" s="1">
        <v>2</v>
      </c>
      <c r="J23" s="1">
        <v>8</v>
      </c>
      <c r="K23" s="1" t="s">
        <v>21</v>
      </c>
      <c r="L23" s="3">
        <f t="shared" si="0"/>
        <v>104000</v>
      </c>
      <c r="M23" s="3">
        <f t="shared" si="1"/>
        <v>83200</v>
      </c>
      <c r="N23" s="10">
        <v>20800</v>
      </c>
      <c r="O23" s="1" t="str" cm="1">
        <f t="array" ref="O23">fn기타(F23,G23)</f>
        <v>치매</v>
      </c>
    </row>
    <row r="24" spans="2:15" x14ac:dyDescent="0.4">
      <c r="B24" s="1" t="s">
        <v>92</v>
      </c>
      <c r="C24" s="1" t="s">
        <v>48</v>
      </c>
      <c r="D24" s="1" t="s">
        <v>69</v>
      </c>
      <c r="E24" s="1">
        <v>89</v>
      </c>
      <c r="F24" s="1">
        <v>3</v>
      </c>
      <c r="G24" s="1" t="s">
        <v>19</v>
      </c>
      <c r="H24" s="1" t="s">
        <v>15</v>
      </c>
      <c r="I24" s="1">
        <v>1</v>
      </c>
      <c r="J24" s="1">
        <v>4</v>
      </c>
      <c r="K24" s="12" t="s">
        <v>18</v>
      </c>
      <c r="L24" s="3">
        <f t="shared" si="0"/>
        <v>48000</v>
      </c>
      <c r="M24" s="3">
        <f t="shared" si="1"/>
        <v>48000</v>
      </c>
      <c r="N24" s="10">
        <v>0</v>
      </c>
      <c r="O24" s="1" t="str" cm="1">
        <f t="array" ref="O24">fn기타(F24,G24)</f>
        <v/>
      </c>
    </row>
    <row r="25" spans="2:15" x14ac:dyDescent="0.4">
      <c r="B25" s="1" t="s">
        <v>93</v>
      </c>
      <c r="C25" s="1" t="s">
        <v>67</v>
      </c>
      <c r="D25" s="1" t="s">
        <v>69</v>
      </c>
      <c r="E25" s="1">
        <v>53</v>
      </c>
      <c r="F25" s="1">
        <v>1</v>
      </c>
      <c r="G25" s="1" t="s">
        <v>19</v>
      </c>
      <c r="H25" s="1" t="s">
        <v>15</v>
      </c>
      <c r="I25" s="1">
        <v>5</v>
      </c>
      <c r="J25" s="1">
        <v>45</v>
      </c>
      <c r="K25" s="1" t="s">
        <v>21</v>
      </c>
      <c r="L25" s="3">
        <f t="shared" si="0"/>
        <v>585000</v>
      </c>
      <c r="M25" s="3">
        <f t="shared" si="1"/>
        <v>585000</v>
      </c>
      <c r="N25" s="10">
        <v>0</v>
      </c>
      <c r="O25" s="1" t="str" cm="1">
        <f t="array" ref="O25">fn기타(F25,G25)</f>
        <v>관심대상</v>
      </c>
    </row>
    <row r="26" spans="2:15" x14ac:dyDescent="0.4">
      <c r="B26" s="1" t="s">
        <v>94</v>
      </c>
      <c r="C26" s="1" t="s">
        <v>50</v>
      </c>
      <c r="D26" s="1" t="s">
        <v>71</v>
      </c>
      <c r="E26" s="1">
        <v>53</v>
      </c>
      <c r="F26" s="1">
        <v>4</v>
      </c>
      <c r="G26" s="1" t="s">
        <v>14</v>
      </c>
      <c r="H26" s="1" t="s">
        <v>22</v>
      </c>
      <c r="I26" s="1">
        <v>1</v>
      </c>
      <c r="J26" s="1">
        <v>8</v>
      </c>
      <c r="K26" s="1" t="s">
        <v>16</v>
      </c>
      <c r="L26" s="3">
        <f t="shared" si="0"/>
        <v>80000</v>
      </c>
      <c r="M26" s="3">
        <f t="shared" si="1"/>
        <v>72000</v>
      </c>
      <c r="N26" s="10">
        <v>8000</v>
      </c>
      <c r="O26" s="1" t="str" cm="1">
        <f t="array" ref="O26">fn기타(F26,G26)</f>
        <v/>
      </c>
    </row>
    <row r="27" spans="2:15" x14ac:dyDescent="0.4">
      <c r="B27" s="1" t="s">
        <v>95</v>
      </c>
      <c r="C27" s="1" t="s">
        <v>62</v>
      </c>
      <c r="D27" s="1" t="s">
        <v>69</v>
      </c>
      <c r="E27" s="1">
        <v>77</v>
      </c>
      <c r="F27" s="1">
        <v>1</v>
      </c>
      <c r="G27" s="1" t="s">
        <v>0</v>
      </c>
      <c r="H27" s="1" t="s">
        <v>17</v>
      </c>
      <c r="I27" s="1">
        <v>7</v>
      </c>
      <c r="J27" s="1">
        <v>70</v>
      </c>
      <c r="K27" s="1" t="s">
        <v>16</v>
      </c>
      <c r="L27" s="3">
        <f t="shared" si="0"/>
        <v>700000</v>
      </c>
      <c r="M27" s="3">
        <f t="shared" si="1"/>
        <v>560000</v>
      </c>
      <c r="N27" s="10">
        <v>140000</v>
      </c>
      <c r="O27" s="1" t="str" cm="1">
        <f t="array" ref="O27">fn기타(F27,G27)</f>
        <v/>
      </c>
    </row>
    <row r="28" spans="2:15" x14ac:dyDescent="0.4">
      <c r="B28" s="1" t="s">
        <v>96</v>
      </c>
      <c r="C28" s="1" t="s">
        <v>51</v>
      </c>
      <c r="D28" s="1" t="s">
        <v>69</v>
      </c>
      <c r="E28" s="1">
        <v>85</v>
      </c>
      <c r="F28" s="1">
        <v>3</v>
      </c>
      <c r="G28" s="1" t="s">
        <v>14</v>
      </c>
      <c r="H28" s="1" t="s">
        <v>22</v>
      </c>
      <c r="I28" s="1">
        <v>5</v>
      </c>
      <c r="J28" s="1">
        <v>40</v>
      </c>
      <c r="K28" s="12" t="s">
        <v>21</v>
      </c>
      <c r="L28" s="3">
        <f t="shared" si="0"/>
        <v>520000</v>
      </c>
      <c r="M28" s="3">
        <f t="shared" si="1"/>
        <v>468000</v>
      </c>
      <c r="N28" s="10">
        <v>52000</v>
      </c>
      <c r="O28" s="1" t="str" cm="1">
        <f t="array" ref="O28">fn기타(F28,G28)</f>
        <v/>
      </c>
    </row>
    <row r="29" spans="2:15" x14ac:dyDescent="0.4">
      <c r="B29" s="1" t="s">
        <v>97</v>
      </c>
      <c r="C29" s="1" t="s">
        <v>58</v>
      </c>
      <c r="D29" s="1" t="s">
        <v>71</v>
      </c>
      <c r="E29" s="1">
        <v>79</v>
      </c>
      <c r="F29" s="1">
        <v>5</v>
      </c>
      <c r="G29" s="1" t="s">
        <v>0</v>
      </c>
      <c r="H29" s="1" t="s">
        <v>22</v>
      </c>
      <c r="I29" s="1">
        <v>2</v>
      </c>
      <c r="J29" s="1">
        <v>16</v>
      </c>
      <c r="K29" s="1" t="s">
        <v>18</v>
      </c>
      <c r="L29" s="3">
        <f t="shared" si="0"/>
        <v>192000</v>
      </c>
      <c r="M29" s="3">
        <f t="shared" si="1"/>
        <v>153600</v>
      </c>
      <c r="N29" s="10">
        <v>38400</v>
      </c>
      <c r="O29" s="1" t="str" cm="1">
        <f t="array" ref="O29">fn기타(F29,G29)</f>
        <v>치매</v>
      </c>
    </row>
    <row r="31" spans="2:15" x14ac:dyDescent="0.4">
      <c r="B31" s="6" t="s">
        <v>32</v>
      </c>
      <c r="I31" s="6" t="s">
        <v>34</v>
      </c>
      <c r="L31" t="s">
        <v>33</v>
      </c>
    </row>
    <row r="32" spans="2:15" x14ac:dyDescent="0.4">
      <c r="B32" s="7" t="s">
        <v>23</v>
      </c>
      <c r="C32" s="8">
        <v>5</v>
      </c>
      <c r="D32" s="8">
        <v>4</v>
      </c>
      <c r="E32" s="8">
        <v>3</v>
      </c>
      <c r="F32" s="8">
        <v>2</v>
      </c>
      <c r="G32" s="8">
        <v>1</v>
      </c>
      <c r="I32" s="13" t="s">
        <v>6</v>
      </c>
      <c r="J32" s="13" t="s">
        <v>35</v>
      </c>
      <c r="L32" s="1" t="s">
        <v>23</v>
      </c>
      <c r="M32" s="1" t="s">
        <v>24</v>
      </c>
      <c r="N32" s="1" t="s">
        <v>25</v>
      </c>
      <c r="O32" s="1" t="s">
        <v>26</v>
      </c>
    </row>
    <row r="33" spans="2:15" x14ac:dyDescent="0.4">
      <c r="B33" s="7" t="s">
        <v>27</v>
      </c>
      <c r="C33" s="3">
        <v>500000</v>
      </c>
      <c r="D33" s="3">
        <v>600000</v>
      </c>
      <c r="E33" s="3">
        <v>700000</v>
      </c>
      <c r="F33" s="3">
        <v>800000</v>
      </c>
      <c r="G33" s="3">
        <v>900000</v>
      </c>
      <c r="I33" s="2" t="s">
        <v>0</v>
      </c>
      <c r="J33" s="4">
        <v>0.2</v>
      </c>
      <c r="L33" s="1">
        <v>5</v>
      </c>
      <c r="M33" s="14">
        <v>54200</v>
      </c>
      <c r="N33" s="14">
        <v>57300</v>
      </c>
      <c r="O33" s="14">
        <v>52100</v>
      </c>
    </row>
    <row r="34" spans="2:15" x14ac:dyDescent="0.4">
      <c r="I34" s="2" t="s">
        <v>14</v>
      </c>
      <c r="J34" s="4">
        <v>0.1</v>
      </c>
      <c r="L34" s="1">
        <v>4</v>
      </c>
      <c r="M34" s="14">
        <v>48200</v>
      </c>
      <c r="N34" s="14">
        <v>52300</v>
      </c>
      <c r="O34" s="14">
        <v>49000</v>
      </c>
    </row>
    <row r="35" spans="2:15" x14ac:dyDescent="0.4">
      <c r="I35" s="2" t="s">
        <v>19</v>
      </c>
      <c r="J35" s="4">
        <v>0</v>
      </c>
      <c r="L35" s="1">
        <v>3</v>
      </c>
      <c r="M35" s="14">
        <v>45200</v>
      </c>
      <c r="N35" s="14">
        <v>47000</v>
      </c>
      <c r="O35" s="14">
        <v>44200</v>
      </c>
    </row>
    <row r="36" spans="2:15" x14ac:dyDescent="0.4">
      <c r="B36" s="6" t="s">
        <v>102</v>
      </c>
      <c r="L36" s="1">
        <v>2</v>
      </c>
      <c r="M36" s="14">
        <v>45200</v>
      </c>
      <c r="N36" s="14">
        <v>47000</v>
      </c>
      <c r="O36" s="14">
        <v>44200</v>
      </c>
    </row>
    <row r="37" spans="2:15" x14ac:dyDescent="0.4">
      <c r="B37" s="1" t="s">
        <v>5</v>
      </c>
      <c r="C37" s="21" t="s">
        <v>15</v>
      </c>
      <c r="D37" s="21" t="s">
        <v>17</v>
      </c>
      <c r="E37" s="21" t="s">
        <v>20</v>
      </c>
      <c r="F37" s="21" t="s">
        <v>22</v>
      </c>
      <c r="H37" s="6" t="s">
        <v>103</v>
      </c>
      <c r="L37" s="1">
        <v>1</v>
      </c>
      <c r="M37" s="14">
        <v>45200</v>
      </c>
      <c r="N37" s="14">
        <v>47000</v>
      </c>
      <c r="O37" s="14">
        <v>44200</v>
      </c>
    </row>
    <row r="38" spans="2:15" x14ac:dyDescent="0.4">
      <c r="B38" s="8">
        <v>5</v>
      </c>
      <c r="C38" s="2">
        <f t="array" ref="C38">SUM(IF(($F$4:$F$29=$B38)*($H$4:$H$29=C$37),$I$4:$I$29))</f>
        <v>13</v>
      </c>
      <c r="D38" s="2">
        <f t="array" ref="D38">SUM(IF(($F$4:$F$29=$B38)*($H$4:$H$29=D$37),$I$4:$I$29))</f>
        <v>0</v>
      </c>
      <c r="E38" s="2">
        <f t="array" ref="E38">SUM(IF(($F$4:$F$29=$B38)*($H$4:$H$29=E$37),$I$4:$I$29))</f>
        <v>0</v>
      </c>
      <c r="F38" s="2">
        <f t="array" ref="F38">SUM(IF(($F$4:$F$29=$B38)*($H$4:$H$29=F$37),$I$4:$I$29))</f>
        <v>11</v>
      </c>
      <c r="H38" s="23" t="s">
        <v>4</v>
      </c>
      <c r="I38" s="24"/>
      <c r="J38" s="22" t="s">
        <v>29</v>
      </c>
    </row>
    <row r="39" spans="2:15" x14ac:dyDescent="0.4">
      <c r="B39" s="8">
        <v>4</v>
      </c>
      <c r="C39" s="2">
        <f t="array" ref="C39">SUM(IF(($F$4:$F$29=$B39)*($H$4:$H$29=C$37),$I$4:$I$29))</f>
        <v>0</v>
      </c>
      <c r="D39" s="2">
        <f t="array" ref="D39">SUM(IF(($F$4:$F$29=$B39)*($H$4:$H$29=D$37),$I$4:$I$29))</f>
        <v>2</v>
      </c>
      <c r="E39" s="2">
        <f t="array" ref="E39">SUM(IF(($F$4:$F$29=$B39)*($H$4:$H$29=E$37),$I$4:$I$29))</f>
        <v>4</v>
      </c>
      <c r="F39" s="2">
        <f t="array" ref="F39">SUM(IF(($F$4:$F$29=$B39)*($H$4:$H$29=F$37),$I$4:$I$29))</f>
        <v>1</v>
      </c>
      <c r="H39" s="15">
        <v>50</v>
      </c>
      <c r="I39" s="16">
        <v>64</v>
      </c>
      <c r="J39" s="2" t="str" cm="1">
        <f t="array" ref="J39:J43">REPT("▣",FREQUENCY(E4:E29,I39:I42))</f>
        <v>▣▣▣▣▣▣▣</v>
      </c>
    </row>
    <row r="40" spans="2:15" x14ac:dyDescent="0.4">
      <c r="B40" s="8">
        <v>3</v>
      </c>
      <c r="C40" s="2">
        <f t="array" ref="C40">SUM(IF(($F$4:$F$29=$B40)*($H$4:$H$29=C$37),$I$4:$I$29))</f>
        <v>1</v>
      </c>
      <c r="D40" s="2">
        <f t="array" ref="D40">SUM(IF(($F$4:$F$29=$B40)*($H$4:$H$29=D$37),$I$4:$I$29))</f>
        <v>1</v>
      </c>
      <c r="E40" s="2">
        <f t="array" ref="E40">SUM(IF(($F$4:$F$29=$B40)*($H$4:$H$29=E$37),$I$4:$I$29))</f>
        <v>0</v>
      </c>
      <c r="F40" s="2">
        <f t="array" ref="F40">SUM(IF(($F$4:$F$29=$B40)*($H$4:$H$29=F$37),$I$4:$I$29))</f>
        <v>8</v>
      </c>
      <c r="H40" s="15">
        <v>65</v>
      </c>
      <c r="I40" s="16">
        <v>74</v>
      </c>
      <c r="J40" s="2" t="str">
        <v>▣▣▣▣</v>
      </c>
    </row>
    <row r="41" spans="2:15" x14ac:dyDescent="0.4">
      <c r="B41" s="8">
        <v>2</v>
      </c>
      <c r="C41" s="2">
        <f t="array" ref="C41">SUM(IF(($F$4:$F$29=$B41)*($H$4:$H$29=C$37),$I$4:$I$29))</f>
        <v>0</v>
      </c>
      <c r="D41" s="2">
        <f t="array" ref="D41">SUM(IF(($F$4:$F$29=$B41)*($H$4:$H$29=D$37),$I$4:$I$29))</f>
        <v>2</v>
      </c>
      <c r="E41" s="2">
        <f t="array" ref="E41">SUM(IF(($F$4:$F$29=$B41)*($H$4:$H$29=E$37),$I$4:$I$29))</f>
        <v>16</v>
      </c>
      <c r="F41" s="2">
        <f t="array" ref="F41">SUM(IF(($F$4:$F$29=$B41)*($H$4:$H$29=F$37),$I$4:$I$29))</f>
        <v>0</v>
      </c>
      <c r="H41" s="15">
        <v>75</v>
      </c>
      <c r="I41" s="16">
        <v>84</v>
      </c>
      <c r="J41" s="2" t="str">
        <v>▣▣▣▣▣▣▣▣</v>
      </c>
    </row>
    <row r="42" spans="2:15" x14ac:dyDescent="0.4">
      <c r="B42" s="8">
        <v>1</v>
      </c>
      <c r="C42" s="2">
        <f t="array" ref="C42">SUM(IF(($F$4:$F$29=$B42)*($H$4:$H$29=C$37),$I$4:$I$29))</f>
        <v>12</v>
      </c>
      <c r="D42" s="2">
        <f t="array" ref="D42">SUM(IF(($F$4:$F$29=$B42)*($H$4:$H$29=D$37),$I$4:$I$29))</f>
        <v>20</v>
      </c>
      <c r="E42" s="2">
        <f t="array" ref="E42">SUM(IF(($F$4:$F$29=$B42)*($H$4:$H$29=E$37),$I$4:$I$29))</f>
        <v>9</v>
      </c>
      <c r="F42" s="2">
        <f t="array" ref="F42">SUM(IF(($F$4:$F$29=$B42)*($H$4:$H$29=F$37),$I$4:$I$29))</f>
        <v>0</v>
      </c>
      <c r="H42" s="15">
        <v>85</v>
      </c>
      <c r="I42" s="16">
        <v>100</v>
      </c>
      <c r="J42" s="2" t="str">
        <v>▣▣▣▣▣▣▣</v>
      </c>
    </row>
    <row r="43" spans="2:15" x14ac:dyDescent="0.4">
      <c r="J43" t="str">
        <v/>
      </c>
    </row>
    <row r="44" spans="2:15" x14ac:dyDescent="0.4">
      <c r="B44" s="6" t="s">
        <v>104</v>
      </c>
    </row>
    <row r="45" spans="2:15" x14ac:dyDescent="0.4">
      <c r="B45" s="13" t="s">
        <v>1</v>
      </c>
      <c r="C45" s="13" t="s">
        <v>30</v>
      </c>
      <c r="D45" s="13" t="s">
        <v>5</v>
      </c>
      <c r="E45" s="13" t="s">
        <v>8</v>
      </c>
      <c r="F45" s="22" t="s">
        <v>31</v>
      </c>
    </row>
    <row r="46" spans="2:15" x14ac:dyDescent="0.4">
      <c r="B46" s="1" t="s">
        <v>105</v>
      </c>
      <c r="C46" s="1" t="s">
        <v>24</v>
      </c>
      <c r="D46" s="2">
        <v>1</v>
      </c>
      <c r="E46" s="2">
        <v>6</v>
      </c>
      <c r="F46" s="10">
        <f>INDEX($M$33:$O$37,MATCH(D46,$L$33:$L$37,0),MATCH(C46,$M$32:$O$32,0))</f>
        <v>45200</v>
      </c>
      <c r="H46" s="9"/>
      <c r="I46" s="9"/>
    </row>
    <row r="47" spans="2:15" x14ac:dyDescent="0.4">
      <c r="B47" s="1" t="s">
        <v>106</v>
      </c>
      <c r="C47" s="1" t="s">
        <v>26</v>
      </c>
      <c r="D47" s="2">
        <v>2</v>
      </c>
      <c r="E47" s="2">
        <v>2</v>
      </c>
      <c r="F47" s="10">
        <f t="shared" ref="F47:F55" si="2">INDEX($M$33:$O$37,MATCH(D47,$L$33:$L$37,0),MATCH(C47,$M$32:$O$32,0))</f>
        <v>44200</v>
      </c>
    </row>
    <row r="48" spans="2:15" x14ac:dyDescent="0.4">
      <c r="B48" s="1" t="s">
        <v>107</v>
      </c>
      <c r="C48" s="1" t="s">
        <v>24</v>
      </c>
      <c r="D48" s="2">
        <v>1</v>
      </c>
      <c r="E48" s="2">
        <v>1</v>
      </c>
      <c r="F48" s="10">
        <f t="shared" si="2"/>
        <v>45200</v>
      </c>
    </row>
    <row r="49" spans="2:6" x14ac:dyDescent="0.4">
      <c r="B49" s="1" t="s">
        <v>108</v>
      </c>
      <c r="C49" s="1" t="s">
        <v>25</v>
      </c>
      <c r="D49" s="2">
        <v>1</v>
      </c>
      <c r="E49" s="2">
        <v>6</v>
      </c>
      <c r="F49" s="10">
        <f t="shared" si="2"/>
        <v>47000</v>
      </c>
    </row>
    <row r="50" spans="2:6" x14ac:dyDescent="0.4">
      <c r="B50" s="1" t="s">
        <v>109</v>
      </c>
      <c r="C50" s="1" t="s">
        <v>24</v>
      </c>
      <c r="D50" s="2">
        <v>2</v>
      </c>
      <c r="E50" s="2">
        <v>6</v>
      </c>
      <c r="F50" s="10">
        <f t="shared" si="2"/>
        <v>45200</v>
      </c>
    </row>
    <row r="51" spans="2:6" x14ac:dyDescent="0.4">
      <c r="B51" s="1" t="s">
        <v>110</v>
      </c>
      <c r="C51" s="1" t="s">
        <v>24</v>
      </c>
      <c r="D51" s="2">
        <v>5</v>
      </c>
      <c r="E51" s="2">
        <v>7</v>
      </c>
      <c r="F51" s="10">
        <f t="shared" si="2"/>
        <v>54200</v>
      </c>
    </row>
    <row r="52" spans="2:6" x14ac:dyDescent="0.4">
      <c r="B52" s="1" t="s">
        <v>111</v>
      </c>
      <c r="C52" s="1" t="s">
        <v>26</v>
      </c>
      <c r="D52" s="2">
        <v>4</v>
      </c>
      <c r="E52" s="2">
        <v>1</v>
      </c>
      <c r="F52" s="10">
        <f t="shared" si="2"/>
        <v>49000</v>
      </c>
    </row>
    <row r="53" spans="2:6" x14ac:dyDescent="0.4">
      <c r="B53" s="1" t="s">
        <v>112</v>
      </c>
      <c r="C53" s="1" t="s">
        <v>25</v>
      </c>
      <c r="D53" s="2">
        <v>1</v>
      </c>
      <c r="E53" s="2">
        <v>7</v>
      </c>
      <c r="F53" s="10">
        <f t="shared" si="2"/>
        <v>47000</v>
      </c>
    </row>
    <row r="54" spans="2:6" x14ac:dyDescent="0.4">
      <c r="B54" s="1" t="s">
        <v>113</v>
      </c>
      <c r="C54" s="1" t="s">
        <v>25</v>
      </c>
      <c r="D54" s="2">
        <v>3</v>
      </c>
      <c r="E54" s="2">
        <v>5</v>
      </c>
      <c r="F54" s="10">
        <f t="shared" si="2"/>
        <v>47000</v>
      </c>
    </row>
    <row r="55" spans="2:6" x14ac:dyDescent="0.4">
      <c r="B55" s="1" t="s">
        <v>114</v>
      </c>
      <c r="C55" s="1" t="s">
        <v>25</v>
      </c>
      <c r="D55" s="2">
        <v>2</v>
      </c>
      <c r="E55" s="2">
        <v>3</v>
      </c>
      <c r="F55" s="10">
        <f t="shared" si="2"/>
        <v>47000</v>
      </c>
    </row>
  </sheetData>
  <mergeCells count="1">
    <mergeCell ref="H38:I38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2:F17"/>
  <sheetViews>
    <sheetView workbookViewId="0">
      <selection activeCell="A4" sqref="A4:F4"/>
      <pivotSelection pane="bottomRight" showHeader="1" extendable="1" max="14" activeRow="3" click="1" r:id="rId1">
        <pivotArea dataOnly="0" fieldPosition="0">
          <references count="1">
            <reference field="0" count="1">
              <x v="0"/>
            </reference>
          </references>
        </pivotArea>
      </pivotSelection>
    </sheetView>
  </sheetViews>
  <sheetFormatPr defaultRowHeight="17.399999999999999" x14ac:dyDescent="0.4"/>
  <cols>
    <col min="1" max="1" width="20.09765625" bestFit="1" customWidth="1"/>
    <col min="2" max="2" width="15.3984375" bestFit="1" customWidth="1"/>
    <col min="3" max="5" width="12.3984375" bestFit="1" customWidth="1"/>
    <col min="6" max="6" width="8.5" bestFit="1" customWidth="1"/>
    <col min="7" max="7" width="15.5" bestFit="1" customWidth="1"/>
    <col min="8" max="9" width="20.09765625" bestFit="1" customWidth="1"/>
  </cols>
  <sheetData>
    <row r="2" spans="1:6" x14ac:dyDescent="0.4">
      <c r="C2" s="25" t="s">
        <v>124</v>
      </c>
    </row>
    <row r="3" spans="1:6" x14ac:dyDescent="0.4">
      <c r="A3" s="25" t="s">
        <v>121</v>
      </c>
      <c r="B3" s="25" t="s">
        <v>150</v>
      </c>
      <c r="C3" t="s">
        <v>100</v>
      </c>
      <c r="D3" t="s">
        <v>98</v>
      </c>
      <c r="E3" t="s">
        <v>99</v>
      </c>
      <c r="F3" t="s">
        <v>145</v>
      </c>
    </row>
    <row r="4" spans="1:6" x14ac:dyDescent="0.4">
      <c r="A4" t="s">
        <v>133</v>
      </c>
      <c r="C4" s="26"/>
      <c r="D4" s="26"/>
      <c r="E4" s="26"/>
      <c r="F4" s="26"/>
    </row>
    <row r="5" spans="1:6" x14ac:dyDescent="0.4">
      <c r="B5" t="s">
        <v>147</v>
      </c>
      <c r="C5" s="26">
        <v>326800</v>
      </c>
      <c r="D5" s="26">
        <v>117000</v>
      </c>
      <c r="E5" s="26">
        <v>304200</v>
      </c>
      <c r="F5" s="26">
        <v>249333.33333333334</v>
      </c>
    </row>
    <row r="6" spans="1:6" x14ac:dyDescent="0.4">
      <c r="B6" t="s">
        <v>149</v>
      </c>
      <c r="C6" s="26">
        <v>94200</v>
      </c>
      <c r="D6" s="26">
        <v>13000</v>
      </c>
      <c r="E6" s="26">
        <v>33800</v>
      </c>
      <c r="F6" s="26">
        <v>47000</v>
      </c>
    </row>
    <row r="7" spans="1:6" x14ac:dyDescent="0.4">
      <c r="A7" t="s">
        <v>132</v>
      </c>
      <c r="C7" s="26"/>
      <c r="D7" s="26"/>
      <c r="E7" s="26"/>
      <c r="F7" s="26"/>
    </row>
    <row r="8" spans="1:6" x14ac:dyDescent="0.4">
      <c r="B8" t="s">
        <v>147</v>
      </c>
      <c r="C8" s="26">
        <v>230400</v>
      </c>
      <c r="D8" s="26">
        <v>249000</v>
      </c>
      <c r="E8" s="26" t="s">
        <v>151</v>
      </c>
      <c r="F8" s="26">
        <v>245900</v>
      </c>
    </row>
    <row r="9" spans="1:6" x14ac:dyDescent="0.4">
      <c r="B9" t="s">
        <v>149</v>
      </c>
      <c r="C9" s="26">
        <v>57600</v>
      </c>
      <c r="D9" s="26">
        <v>25000</v>
      </c>
      <c r="E9" s="26" t="s">
        <v>151</v>
      </c>
      <c r="F9" s="26">
        <v>30433.333333333332</v>
      </c>
    </row>
    <row r="10" spans="1:6" x14ac:dyDescent="0.4">
      <c r="A10" t="s">
        <v>129</v>
      </c>
      <c r="C10" s="26"/>
      <c r="D10" s="26"/>
      <c r="E10" s="26"/>
      <c r="F10" s="26"/>
    </row>
    <row r="11" spans="1:6" x14ac:dyDescent="0.4">
      <c r="B11" t="s">
        <v>147</v>
      </c>
      <c r="C11" s="26">
        <v>378000</v>
      </c>
      <c r="D11" s="26">
        <v>302000</v>
      </c>
      <c r="E11" s="26">
        <v>124800</v>
      </c>
      <c r="F11" s="26">
        <v>298400</v>
      </c>
    </row>
    <row r="12" spans="1:6" x14ac:dyDescent="0.4">
      <c r="B12" t="s">
        <v>149</v>
      </c>
      <c r="C12" s="26">
        <v>42000</v>
      </c>
      <c r="D12" s="26">
        <v>50500</v>
      </c>
      <c r="E12" s="26">
        <v>31200</v>
      </c>
      <c r="F12" s="26">
        <v>45314.285714285717</v>
      </c>
    </row>
    <row r="13" spans="1:6" x14ac:dyDescent="0.4">
      <c r="A13" t="s">
        <v>134</v>
      </c>
      <c r="C13" s="26"/>
      <c r="D13" s="26"/>
      <c r="E13" s="26"/>
      <c r="F13" s="26"/>
    </row>
    <row r="14" spans="1:6" x14ac:dyDescent="0.4">
      <c r="B14" t="s">
        <v>147</v>
      </c>
      <c r="C14" s="26">
        <v>48000</v>
      </c>
      <c r="D14" s="26">
        <v>257333.33333333334</v>
      </c>
      <c r="E14" s="26">
        <v>344066.66666666669</v>
      </c>
      <c r="F14" s="26">
        <v>264600</v>
      </c>
    </row>
    <row r="15" spans="1:6" x14ac:dyDescent="0.4">
      <c r="B15" t="s">
        <v>149</v>
      </c>
      <c r="C15" s="26">
        <v>0</v>
      </c>
      <c r="D15" s="26">
        <v>16000</v>
      </c>
      <c r="E15" s="26">
        <v>6933.333333333333</v>
      </c>
      <c r="F15" s="26">
        <v>9828.5714285714294</v>
      </c>
    </row>
    <row r="16" spans="1:6" x14ac:dyDescent="0.4">
      <c r="A16" t="s">
        <v>146</v>
      </c>
      <c r="C16" s="26">
        <v>281333.33333333331</v>
      </c>
      <c r="D16" s="26">
        <v>247071.42857142858</v>
      </c>
      <c r="E16" s="26">
        <v>294233.33333333331</v>
      </c>
      <c r="F16" s="26">
        <v>265861.53846153844</v>
      </c>
    </row>
    <row r="17" spans="1:6" x14ac:dyDescent="0.4">
      <c r="A17" t="s">
        <v>148</v>
      </c>
      <c r="C17" s="26">
        <v>55000</v>
      </c>
      <c r="D17" s="26">
        <v>28642.857142857141</v>
      </c>
      <c r="E17" s="26">
        <v>19933.333333333332</v>
      </c>
      <c r="F17" s="26">
        <v>32715.384615384617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 filterMode="1"/>
  <dimension ref="B2:J28"/>
  <sheetViews>
    <sheetView workbookViewId="0">
      <selection activeCell="G32" sqref="G32"/>
    </sheetView>
  </sheetViews>
  <sheetFormatPr defaultRowHeight="17.399999999999999" x14ac:dyDescent="0.4"/>
  <cols>
    <col min="1" max="1" width="3.8984375" customWidth="1"/>
    <col min="6" max="6" width="11.19921875" bestFit="1" customWidth="1"/>
    <col min="7" max="7" width="12.59765625" customWidth="1"/>
    <col min="8" max="8" width="9.69921875" customWidth="1"/>
    <col min="10" max="10" width="10.19921875" customWidth="1"/>
  </cols>
  <sheetData>
    <row r="2" spans="2:10" x14ac:dyDescent="0.4">
      <c r="B2" s="5" t="s">
        <v>115</v>
      </c>
      <c r="C2" s="5" t="s">
        <v>116</v>
      </c>
      <c r="D2" s="5" t="s">
        <v>117</v>
      </c>
      <c r="E2" s="5" t="s">
        <v>118</v>
      </c>
      <c r="F2" s="5" t="s">
        <v>119</v>
      </c>
      <c r="G2" s="5" t="s">
        <v>120</v>
      </c>
      <c r="H2" s="5" t="s">
        <v>121</v>
      </c>
      <c r="I2" s="5" t="s">
        <v>122</v>
      </c>
      <c r="J2" s="5" t="s">
        <v>123</v>
      </c>
    </row>
    <row r="3" spans="2:10" hidden="1" x14ac:dyDescent="0.4">
      <c r="B3" s="1" t="s">
        <v>94</v>
      </c>
      <c r="C3" s="1" t="s">
        <v>137</v>
      </c>
      <c r="D3" s="1" t="s">
        <v>70</v>
      </c>
      <c r="E3" s="1">
        <v>53</v>
      </c>
      <c r="F3" s="1">
        <v>4</v>
      </c>
      <c r="G3" s="1" t="s">
        <v>101</v>
      </c>
      <c r="H3" s="1" t="s">
        <v>133</v>
      </c>
      <c r="I3" s="1">
        <v>1</v>
      </c>
      <c r="J3" s="1">
        <v>8</v>
      </c>
    </row>
    <row r="4" spans="2:10" ht="16.5" hidden="1" customHeight="1" x14ac:dyDescent="0.4">
      <c r="B4" s="1" t="s">
        <v>97</v>
      </c>
      <c r="C4" s="1" t="s">
        <v>58</v>
      </c>
      <c r="D4" s="1" t="s">
        <v>70</v>
      </c>
      <c r="E4" s="1">
        <v>79</v>
      </c>
      <c r="F4" s="1">
        <v>5</v>
      </c>
      <c r="G4" s="1" t="s">
        <v>130</v>
      </c>
      <c r="H4" s="1" t="s">
        <v>133</v>
      </c>
      <c r="I4" s="1">
        <v>2</v>
      </c>
      <c r="J4" s="1">
        <v>16</v>
      </c>
    </row>
    <row r="5" spans="2:10" x14ac:dyDescent="0.4">
      <c r="B5" s="1" t="s">
        <v>96</v>
      </c>
      <c r="C5" s="1" t="s">
        <v>51</v>
      </c>
      <c r="D5" s="1" t="s">
        <v>68</v>
      </c>
      <c r="E5" s="1">
        <v>85</v>
      </c>
      <c r="F5" s="1">
        <v>3</v>
      </c>
      <c r="G5" s="1" t="s">
        <v>101</v>
      </c>
      <c r="H5" s="1" t="s">
        <v>133</v>
      </c>
      <c r="I5" s="1">
        <v>5</v>
      </c>
      <c r="J5" s="1">
        <v>40</v>
      </c>
    </row>
    <row r="6" spans="2:10" hidden="1" x14ac:dyDescent="0.4">
      <c r="B6" s="1" t="s">
        <v>75</v>
      </c>
      <c r="C6" s="1" t="s">
        <v>43</v>
      </c>
      <c r="D6" s="1" t="s">
        <v>70</v>
      </c>
      <c r="E6" s="1">
        <v>79</v>
      </c>
      <c r="F6" s="1">
        <v>3</v>
      </c>
      <c r="G6" s="1" t="s">
        <v>101</v>
      </c>
      <c r="H6" s="1" t="s">
        <v>133</v>
      </c>
      <c r="I6" s="1">
        <v>3</v>
      </c>
      <c r="J6" s="1">
        <v>18</v>
      </c>
    </row>
    <row r="7" spans="2:10" x14ac:dyDescent="0.4">
      <c r="B7" s="1" t="s">
        <v>84</v>
      </c>
      <c r="C7" s="1" t="s">
        <v>60</v>
      </c>
      <c r="D7" s="1" t="s">
        <v>70</v>
      </c>
      <c r="E7" s="1">
        <v>73</v>
      </c>
      <c r="F7" s="1">
        <v>5</v>
      </c>
      <c r="G7" s="1" t="s">
        <v>128</v>
      </c>
      <c r="H7" s="1" t="s">
        <v>133</v>
      </c>
      <c r="I7" s="1">
        <v>7</v>
      </c>
      <c r="J7" s="1">
        <v>59</v>
      </c>
    </row>
    <row r="8" spans="2:10" hidden="1" x14ac:dyDescent="0.4">
      <c r="B8" s="1" t="s">
        <v>78</v>
      </c>
      <c r="C8" s="1" t="s">
        <v>47</v>
      </c>
      <c r="D8" s="1" t="s">
        <v>68</v>
      </c>
      <c r="E8" s="1">
        <v>64</v>
      </c>
      <c r="F8" s="1">
        <v>5</v>
      </c>
      <c r="G8" s="1" t="s">
        <v>101</v>
      </c>
      <c r="H8" s="1" t="s">
        <v>133</v>
      </c>
      <c r="I8" s="1">
        <v>2</v>
      </c>
      <c r="J8" s="1">
        <v>12</v>
      </c>
    </row>
    <row r="9" spans="2:10" hidden="1" x14ac:dyDescent="0.4">
      <c r="B9" s="1" t="s">
        <v>83</v>
      </c>
      <c r="C9" s="1" t="s">
        <v>46</v>
      </c>
      <c r="D9" s="1" t="s">
        <v>68</v>
      </c>
      <c r="E9" s="1">
        <v>65</v>
      </c>
      <c r="F9" s="1">
        <v>1</v>
      </c>
      <c r="G9" s="1" t="s">
        <v>128</v>
      </c>
      <c r="H9" s="1" t="s">
        <v>132</v>
      </c>
      <c r="I9" s="1">
        <v>5</v>
      </c>
      <c r="J9" s="1">
        <v>20</v>
      </c>
    </row>
    <row r="10" spans="2:10" hidden="1" x14ac:dyDescent="0.4">
      <c r="B10" s="1" t="s">
        <v>74</v>
      </c>
      <c r="C10" s="1" t="s">
        <v>131</v>
      </c>
      <c r="D10" s="1" t="s">
        <v>70</v>
      </c>
      <c r="E10" s="1">
        <v>74</v>
      </c>
      <c r="F10" s="1">
        <v>2</v>
      </c>
      <c r="G10" s="1" t="s">
        <v>101</v>
      </c>
      <c r="H10" s="1" t="s">
        <v>132</v>
      </c>
      <c r="I10" s="1">
        <v>7</v>
      </c>
      <c r="J10" s="1">
        <v>35</v>
      </c>
    </row>
    <row r="11" spans="2:10" hidden="1" x14ac:dyDescent="0.4">
      <c r="B11" s="1" t="s">
        <v>81</v>
      </c>
      <c r="C11" s="1" t="s">
        <v>59</v>
      </c>
      <c r="D11" s="1" t="s">
        <v>68</v>
      </c>
      <c r="E11" s="1">
        <v>50</v>
      </c>
      <c r="F11" s="1">
        <v>2</v>
      </c>
      <c r="G11" s="1" t="s">
        <v>101</v>
      </c>
      <c r="H11" s="1" t="s">
        <v>132</v>
      </c>
      <c r="I11" s="1">
        <v>3</v>
      </c>
      <c r="J11" s="1">
        <v>18</v>
      </c>
    </row>
    <row r="12" spans="2:10" hidden="1" x14ac:dyDescent="0.4">
      <c r="B12" s="1" t="s">
        <v>77</v>
      </c>
      <c r="C12" s="1" t="s">
        <v>135</v>
      </c>
      <c r="D12" s="1" t="s">
        <v>70</v>
      </c>
      <c r="E12" s="1">
        <v>93</v>
      </c>
      <c r="F12" s="1">
        <v>1</v>
      </c>
      <c r="G12" s="1" t="s">
        <v>128</v>
      </c>
      <c r="H12" s="1" t="s">
        <v>132</v>
      </c>
      <c r="I12" s="1">
        <v>4</v>
      </c>
      <c r="J12" s="1">
        <v>28</v>
      </c>
    </row>
    <row r="13" spans="2:10" hidden="1" x14ac:dyDescent="0.4">
      <c r="B13" s="1" t="s">
        <v>89</v>
      </c>
      <c r="C13" s="1" t="s">
        <v>52</v>
      </c>
      <c r="D13" s="1" t="s">
        <v>68</v>
      </c>
      <c r="E13" s="1">
        <v>89</v>
      </c>
      <c r="F13" s="1">
        <v>2</v>
      </c>
      <c r="G13" s="1" t="s">
        <v>130</v>
      </c>
      <c r="H13" s="1" t="s">
        <v>132</v>
      </c>
      <c r="I13" s="1">
        <v>6</v>
      </c>
      <c r="J13" s="1">
        <v>36</v>
      </c>
    </row>
    <row r="14" spans="2:10" hidden="1" x14ac:dyDescent="0.4">
      <c r="B14" s="1" t="s">
        <v>80</v>
      </c>
      <c r="C14" s="1" t="s">
        <v>66</v>
      </c>
      <c r="D14" s="1" t="s">
        <v>68</v>
      </c>
      <c r="E14" s="1">
        <v>93</v>
      </c>
      <c r="F14" s="1">
        <v>4</v>
      </c>
      <c r="G14" s="1" t="s">
        <v>130</v>
      </c>
      <c r="H14" s="1" t="s">
        <v>132</v>
      </c>
      <c r="I14" s="1">
        <v>4</v>
      </c>
      <c r="J14" s="1">
        <v>24</v>
      </c>
    </row>
    <row r="15" spans="2:10" hidden="1" x14ac:dyDescent="0.4">
      <c r="B15" s="1" t="s">
        <v>86</v>
      </c>
      <c r="C15" s="1" t="s">
        <v>49</v>
      </c>
      <c r="D15" s="1" t="s">
        <v>68</v>
      </c>
      <c r="E15" s="1">
        <v>51</v>
      </c>
      <c r="F15" s="1">
        <v>2</v>
      </c>
      <c r="G15" s="1" t="s">
        <v>101</v>
      </c>
      <c r="H15" s="1" t="s">
        <v>129</v>
      </c>
      <c r="I15" s="1">
        <v>2</v>
      </c>
      <c r="J15" s="1">
        <v>16</v>
      </c>
    </row>
    <row r="16" spans="2:10" x14ac:dyDescent="0.4">
      <c r="B16" s="1" t="s">
        <v>72</v>
      </c>
      <c r="C16" s="1" t="s">
        <v>63</v>
      </c>
      <c r="D16" s="1" t="s">
        <v>70</v>
      </c>
      <c r="E16" s="1">
        <v>67</v>
      </c>
      <c r="F16" s="1">
        <v>1</v>
      </c>
      <c r="G16" s="1" t="s">
        <v>128</v>
      </c>
      <c r="H16" s="1" t="s">
        <v>129</v>
      </c>
      <c r="I16" s="1">
        <v>4</v>
      </c>
      <c r="J16" s="1">
        <v>40</v>
      </c>
    </row>
    <row r="17" spans="2:10" hidden="1" x14ac:dyDescent="0.4">
      <c r="B17" s="1" t="s">
        <v>73</v>
      </c>
      <c r="C17" s="1" t="s">
        <v>65</v>
      </c>
      <c r="D17" s="1" t="s">
        <v>68</v>
      </c>
      <c r="E17" s="1">
        <v>84</v>
      </c>
      <c r="F17" s="1">
        <v>3</v>
      </c>
      <c r="G17" s="1" t="s">
        <v>130</v>
      </c>
      <c r="H17" s="1" t="s">
        <v>129</v>
      </c>
      <c r="I17" s="1">
        <v>1</v>
      </c>
      <c r="J17" s="1">
        <v>4</v>
      </c>
    </row>
    <row r="18" spans="2:10" hidden="1" x14ac:dyDescent="0.4">
      <c r="B18" s="1" t="s">
        <v>79</v>
      </c>
      <c r="C18" s="1" t="s">
        <v>53</v>
      </c>
      <c r="D18" s="1" t="s">
        <v>70</v>
      </c>
      <c r="E18" s="1">
        <v>80</v>
      </c>
      <c r="F18" s="1">
        <v>4</v>
      </c>
      <c r="G18" s="1" t="s">
        <v>130</v>
      </c>
      <c r="H18" s="1" t="s">
        <v>129</v>
      </c>
      <c r="I18" s="1">
        <v>2</v>
      </c>
      <c r="J18" s="1">
        <v>12</v>
      </c>
    </row>
    <row r="19" spans="2:10" hidden="1" x14ac:dyDescent="0.4">
      <c r="B19" s="1" t="s">
        <v>82</v>
      </c>
      <c r="C19" s="1" t="s">
        <v>136</v>
      </c>
      <c r="D19" s="1" t="s">
        <v>70</v>
      </c>
      <c r="E19" s="1">
        <v>95</v>
      </c>
      <c r="F19" s="1">
        <v>1</v>
      </c>
      <c r="G19" s="1" t="s">
        <v>130</v>
      </c>
      <c r="H19" s="1" t="s">
        <v>129</v>
      </c>
      <c r="I19" s="1">
        <v>3</v>
      </c>
      <c r="J19" s="1">
        <v>27</v>
      </c>
    </row>
    <row r="20" spans="2:10" x14ac:dyDescent="0.4">
      <c r="B20" s="1" t="s">
        <v>85</v>
      </c>
      <c r="C20" s="1" t="s">
        <v>45</v>
      </c>
      <c r="D20" s="1" t="s">
        <v>68</v>
      </c>
      <c r="E20" s="1">
        <v>82</v>
      </c>
      <c r="F20" s="1">
        <v>1</v>
      </c>
      <c r="G20" s="1" t="s">
        <v>101</v>
      </c>
      <c r="H20" s="1" t="s">
        <v>129</v>
      </c>
      <c r="I20" s="1">
        <v>6</v>
      </c>
      <c r="J20" s="1">
        <v>54</v>
      </c>
    </row>
    <row r="21" spans="2:10" x14ac:dyDescent="0.4">
      <c r="B21" s="1" t="s">
        <v>95</v>
      </c>
      <c r="C21" s="1" t="s">
        <v>62</v>
      </c>
      <c r="D21" s="1" t="s">
        <v>68</v>
      </c>
      <c r="E21" s="1">
        <v>77</v>
      </c>
      <c r="F21" s="1">
        <v>1</v>
      </c>
      <c r="G21" s="1" t="s">
        <v>130</v>
      </c>
      <c r="H21" s="1" t="s">
        <v>129</v>
      </c>
      <c r="I21" s="1">
        <v>7</v>
      </c>
      <c r="J21" s="1">
        <v>70</v>
      </c>
    </row>
    <row r="22" spans="2:10" hidden="1" x14ac:dyDescent="0.4">
      <c r="B22" s="1" t="s">
        <v>92</v>
      </c>
      <c r="C22" s="1" t="s">
        <v>48</v>
      </c>
      <c r="D22" s="1" t="s">
        <v>68</v>
      </c>
      <c r="E22" s="1">
        <v>89</v>
      </c>
      <c r="F22" s="1">
        <v>3</v>
      </c>
      <c r="G22" s="1" t="s">
        <v>128</v>
      </c>
      <c r="H22" s="1" t="s">
        <v>134</v>
      </c>
      <c r="I22" s="1">
        <v>1</v>
      </c>
      <c r="J22" s="1">
        <v>4</v>
      </c>
    </row>
    <row r="23" spans="2:10" hidden="1" x14ac:dyDescent="0.4">
      <c r="B23" s="1" t="s">
        <v>87</v>
      </c>
      <c r="C23" s="1" t="s">
        <v>44</v>
      </c>
      <c r="D23" s="1" t="s">
        <v>68</v>
      </c>
      <c r="E23" s="1">
        <v>83</v>
      </c>
      <c r="F23" s="1">
        <v>1</v>
      </c>
      <c r="G23" s="1" t="s">
        <v>128</v>
      </c>
      <c r="H23" s="1" t="s">
        <v>134</v>
      </c>
      <c r="I23" s="1">
        <v>1</v>
      </c>
      <c r="J23" s="1">
        <v>4</v>
      </c>
    </row>
    <row r="24" spans="2:10" x14ac:dyDescent="0.4">
      <c r="B24" s="1" t="s">
        <v>88</v>
      </c>
      <c r="C24" s="1" t="s">
        <v>61</v>
      </c>
      <c r="D24" s="1" t="s">
        <v>70</v>
      </c>
      <c r="E24" s="1">
        <v>56</v>
      </c>
      <c r="F24" s="1">
        <v>1</v>
      </c>
      <c r="G24" s="1" t="s">
        <v>128</v>
      </c>
      <c r="H24" s="1" t="s">
        <v>134</v>
      </c>
      <c r="I24" s="1">
        <v>6</v>
      </c>
      <c r="J24" s="1">
        <v>54</v>
      </c>
    </row>
    <row r="25" spans="2:10" hidden="1" x14ac:dyDescent="0.4">
      <c r="B25" s="1" t="s">
        <v>90</v>
      </c>
      <c r="C25" s="1" t="s">
        <v>56</v>
      </c>
      <c r="D25" s="1" t="s">
        <v>68</v>
      </c>
      <c r="E25" s="1">
        <v>88</v>
      </c>
      <c r="F25" s="1">
        <v>5</v>
      </c>
      <c r="G25" s="1" t="s">
        <v>128</v>
      </c>
      <c r="H25" s="1" t="s">
        <v>134</v>
      </c>
      <c r="I25" s="1">
        <v>7</v>
      </c>
      <c r="J25" s="1">
        <v>28</v>
      </c>
    </row>
    <row r="26" spans="2:10" hidden="1" x14ac:dyDescent="0.4">
      <c r="B26" s="1" t="s">
        <v>91</v>
      </c>
      <c r="C26" s="1" t="s">
        <v>64</v>
      </c>
      <c r="D26" s="1" t="s">
        <v>68</v>
      </c>
      <c r="E26" s="1">
        <v>64</v>
      </c>
      <c r="F26" s="1">
        <v>5</v>
      </c>
      <c r="G26" s="1" t="s">
        <v>130</v>
      </c>
      <c r="H26" s="1" t="s">
        <v>134</v>
      </c>
      <c r="I26" s="1">
        <v>2</v>
      </c>
      <c r="J26" s="1">
        <v>8</v>
      </c>
    </row>
    <row r="27" spans="2:10" hidden="1" x14ac:dyDescent="0.4">
      <c r="B27" s="1" t="s">
        <v>76</v>
      </c>
      <c r="C27" s="1" t="s">
        <v>42</v>
      </c>
      <c r="D27" s="1" t="s">
        <v>68</v>
      </c>
      <c r="E27" s="1">
        <v>81</v>
      </c>
      <c r="F27" s="1">
        <v>5</v>
      </c>
      <c r="G27" s="1" t="s">
        <v>130</v>
      </c>
      <c r="H27" s="1" t="s">
        <v>134</v>
      </c>
      <c r="I27" s="1">
        <v>4</v>
      </c>
      <c r="J27" s="1">
        <v>24</v>
      </c>
    </row>
    <row r="28" spans="2:10" x14ac:dyDescent="0.4">
      <c r="B28" s="1" t="s">
        <v>93</v>
      </c>
      <c r="C28" s="1" t="s">
        <v>67</v>
      </c>
      <c r="D28" s="1" t="s">
        <v>68</v>
      </c>
      <c r="E28" s="1">
        <v>53</v>
      </c>
      <c r="F28" s="1">
        <v>1</v>
      </c>
      <c r="G28" s="1" t="s">
        <v>128</v>
      </c>
      <c r="H28" s="1" t="s">
        <v>134</v>
      </c>
      <c r="I28" s="1">
        <v>5</v>
      </c>
      <c r="J28" s="1">
        <v>45</v>
      </c>
    </row>
  </sheetData>
  <autoFilter ref="B2:J28" xr:uid="{00000000-0001-0000-0400-000000000000}">
    <filterColumn colId="8">
      <top10 percent="1" val="25" filterVal="40"/>
    </filterColumn>
    <sortState xmlns:xlrd2="http://schemas.microsoft.com/office/spreadsheetml/2017/richdata2" ref="B3:J28">
      <sortCondition ref="H2:H28"/>
    </sortState>
  </autoFilter>
  <sortState xmlns:xlrd2="http://schemas.microsoft.com/office/spreadsheetml/2017/richdata2" ref="B3:J28">
    <sortCondition ref="B3"/>
  </sortState>
  <phoneticPr fontId="1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 xr:uid="{2876E175-D9C6-4A84-AAF3-26FA572B951B}">
      <formula1>1</formula1>
      <formula2>5</formula2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2:E11"/>
  <sheetViews>
    <sheetView workbookViewId="0">
      <selection activeCell="I8" sqref="I8"/>
    </sheetView>
  </sheetViews>
  <sheetFormatPr defaultRowHeight="17.399999999999999" x14ac:dyDescent="0.4"/>
  <cols>
    <col min="3" max="3" width="11.59765625" customWidth="1"/>
    <col min="4" max="4" width="10.5" customWidth="1"/>
  </cols>
  <sheetData>
    <row r="2" spans="2:5" x14ac:dyDescent="0.4">
      <c r="B2" s="1" t="s">
        <v>37</v>
      </c>
      <c r="C2" s="1" t="s">
        <v>38</v>
      </c>
      <c r="D2" s="1" t="s">
        <v>39</v>
      </c>
      <c r="E2" s="1" t="s">
        <v>40</v>
      </c>
    </row>
    <row r="3" spans="2:5" x14ac:dyDescent="0.4">
      <c r="B3" s="1">
        <v>2020</v>
      </c>
      <c r="C3" s="14">
        <v>5930000</v>
      </c>
      <c r="D3" s="14">
        <v>2075000</v>
      </c>
      <c r="E3" s="19">
        <f>D3/C3</f>
        <v>0.34991568296795955</v>
      </c>
    </row>
    <row r="4" spans="2:5" x14ac:dyDescent="0.4">
      <c r="B4" s="1">
        <v>2019</v>
      </c>
      <c r="C4" s="14">
        <v>5354000</v>
      </c>
      <c r="D4" s="14">
        <v>2005000</v>
      </c>
      <c r="E4" s="19">
        <f t="shared" ref="E4:E8" si="0">D4/C4</f>
        <v>0.3744863653343295</v>
      </c>
    </row>
    <row r="5" spans="2:5" x14ac:dyDescent="0.4">
      <c r="B5" s="1">
        <v>2018</v>
      </c>
      <c r="C5" s="14">
        <v>5530500</v>
      </c>
      <c r="D5" s="14">
        <v>1950000</v>
      </c>
      <c r="E5" s="19">
        <f t="shared" si="0"/>
        <v>0.3525901817195552</v>
      </c>
    </row>
    <row r="6" spans="2:5" x14ac:dyDescent="0.4">
      <c r="B6" s="1">
        <v>2017</v>
      </c>
      <c r="C6" s="14">
        <v>4950000</v>
      </c>
      <c r="D6" s="14">
        <v>1815000</v>
      </c>
      <c r="E6" s="19">
        <f t="shared" si="0"/>
        <v>0.36666666666666664</v>
      </c>
    </row>
    <row r="7" spans="2:5" x14ac:dyDescent="0.4">
      <c r="B7" s="1">
        <v>2016</v>
      </c>
      <c r="C7" s="14">
        <v>4800000</v>
      </c>
      <c r="D7" s="14">
        <v>1905000</v>
      </c>
      <c r="E7" s="19">
        <f t="shared" si="0"/>
        <v>0.39687499999999998</v>
      </c>
    </row>
    <row r="8" spans="2:5" x14ac:dyDescent="0.4">
      <c r="B8" s="1">
        <v>2015</v>
      </c>
      <c r="C8" s="14">
        <v>4870000</v>
      </c>
      <c r="D8" s="14">
        <v>1875000</v>
      </c>
      <c r="E8" s="19">
        <f t="shared" si="0"/>
        <v>0.38501026694045176</v>
      </c>
    </row>
    <row r="9" spans="2:5" x14ac:dyDescent="0.4">
      <c r="E9" s="11"/>
    </row>
    <row r="10" spans="2:5" x14ac:dyDescent="0.4">
      <c r="E10" s="11"/>
    </row>
    <row r="11" spans="2:5" x14ac:dyDescent="0.4">
      <c r="E11" s="11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J28"/>
  <sheetViews>
    <sheetView workbookViewId="0">
      <selection activeCell="L2" sqref="L2:L3"/>
    </sheetView>
  </sheetViews>
  <sheetFormatPr defaultRowHeight="17.399999999999999" x14ac:dyDescent="0.4"/>
  <cols>
    <col min="1" max="1" width="3.09765625" customWidth="1"/>
    <col min="4" max="5" width="7" customWidth="1"/>
    <col min="6" max="6" width="11.19921875" bestFit="1" customWidth="1"/>
    <col min="7" max="7" width="12.59765625" customWidth="1"/>
    <col min="8" max="8" width="9.69921875" customWidth="1"/>
    <col min="10" max="10" width="10.19921875" customWidth="1"/>
    <col min="11" max="11" width="2.59765625" customWidth="1"/>
    <col min="12" max="12" width="11.09765625" customWidth="1"/>
  </cols>
  <sheetData>
    <row r="2" spans="2:10" x14ac:dyDescent="0.4">
      <c r="B2" s="5" t="s">
        <v>115</v>
      </c>
      <c r="C2" s="5" t="s">
        <v>116</v>
      </c>
      <c r="D2" s="5" t="s">
        <v>117</v>
      </c>
      <c r="E2" s="5" t="s">
        <v>118</v>
      </c>
      <c r="F2" s="5" t="s">
        <v>119</v>
      </c>
      <c r="G2" s="5" t="s">
        <v>120</v>
      </c>
      <c r="H2" s="5" t="s">
        <v>121</v>
      </c>
      <c r="I2" s="5" t="s">
        <v>122</v>
      </c>
      <c r="J2" s="5" t="s">
        <v>123</v>
      </c>
    </row>
    <row r="3" spans="2:10" x14ac:dyDescent="0.4">
      <c r="B3" s="1" t="s">
        <v>75</v>
      </c>
      <c r="C3" s="1" t="s">
        <v>43</v>
      </c>
      <c r="D3" s="1" t="s">
        <v>70</v>
      </c>
      <c r="E3" s="1">
        <v>79</v>
      </c>
      <c r="F3" s="1">
        <v>3</v>
      </c>
      <c r="G3" s="1" t="s">
        <v>101</v>
      </c>
      <c r="H3" s="1" t="s">
        <v>133</v>
      </c>
      <c r="I3" s="27">
        <v>3</v>
      </c>
      <c r="J3" s="28">
        <v>18</v>
      </c>
    </row>
    <row r="4" spans="2:10" x14ac:dyDescent="0.4">
      <c r="B4" s="1" t="s">
        <v>78</v>
      </c>
      <c r="C4" s="1" t="s">
        <v>47</v>
      </c>
      <c r="D4" s="1" t="s">
        <v>68</v>
      </c>
      <c r="E4" s="1">
        <v>64</v>
      </c>
      <c r="F4" s="1">
        <v>5</v>
      </c>
      <c r="G4" s="1" t="s">
        <v>101</v>
      </c>
      <c r="H4" s="1" t="s">
        <v>133</v>
      </c>
      <c r="I4" s="27">
        <v>2</v>
      </c>
      <c r="J4" s="28">
        <v>12</v>
      </c>
    </row>
    <row r="5" spans="2:10" x14ac:dyDescent="0.4">
      <c r="B5" s="1" t="s">
        <v>84</v>
      </c>
      <c r="C5" s="1" t="s">
        <v>60</v>
      </c>
      <c r="D5" s="1" t="s">
        <v>70</v>
      </c>
      <c r="E5" s="1">
        <v>73</v>
      </c>
      <c r="F5" s="1">
        <v>5</v>
      </c>
      <c r="G5" s="1" t="s">
        <v>128</v>
      </c>
      <c r="H5" s="1" t="s">
        <v>133</v>
      </c>
      <c r="I5" s="27">
        <v>7</v>
      </c>
      <c r="J5" s="28">
        <v>59</v>
      </c>
    </row>
    <row r="6" spans="2:10" x14ac:dyDescent="0.4">
      <c r="B6" s="1" t="s">
        <v>94</v>
      </c>
      <c r="C6" s="1" t="s">
        <v>137</v>
      </c>
      <c r="D6" s="1" t="s">
        <v>70</v>
      </c>
      <c r="E6" s="1">
        <v>53</v>
      </c>
      <c r="F6" s="1">
        <v>4</v>
      </c>
      <c r="G6" s="1" t="s">
        <v>101</v>
      </c>
      <c r="H6" s="1" t="s">
        <v>133</v>
      </c>
      <c r="I6" s="27">
        <v>1</v>
      </c>
      <c r="J6" s="28">
        <v>8</v>
      </c>
    </row>
    <row r="7" spans="2:10" x14ac:dyDescent="0.4">
      <c r="B7" s="1" t="s">
        <v>96</v>
      </c>
      <c r="C7" s="1" t="s">
        <v>51</v>
      </c>
      <c r="D7" s="1" t="s">
        <v>68</v>
      </c>
      <c r="E7" s="1">
        <v>85</v>
      </c>
      <c r="F7" s="1">
        <v>3</v>
      </c>
      <c r="G7" s="1" t="s">
        <v>101</v>
      </c>
      <c r="H7" s="1" t="s">
        <v>133</v>
      </c>
      <c r="I7" s="27">
        <v>5</v>
      </c>
      <c r="J7" s="28">
        <v>40</v>
      </c>
    </row>
    <row r="8" spans="2:10" x14ac:dyDescent="0.4">
      <c r="B8" s="1" t="s">
        <v>97</v>
      </c>
      <c r="C8" s="1" t="s">
        <v>58</v>
      </c>
      <c r="D8" s="1" t="s">
        <v>70</v>
      </c>
      <c r="E8" s="1">
        <v>79</v>
      </c>
      <c r="F8" s="1">
        <v>5</v>
      </c>
      <c r="G8" s="1" t="s">
        <v>130</v>
      </c>
      <c r="H8" s="1" t="s">
        <v>133</v>
      </c>
      <c r="I8" s="27">
        <v>2</v>
      </c>
      <c r="J8" s="28">
        <v>16</v>
      </c>
    </row>
    <row r="9" spans="2:10" x14ac:dyDescent="0.4">
      <c r="B9" s="1" t="s">
        <v>74</v>
      </c>
      <c r="C9" s="1" t="s">
        <v>131</v>
      </c>
      <c r="D9" s="1" t="s">
        <v>70</v>
      </c>
      <c r="E9" s="1">
        <v>74</v>
      </c>
      <c r="F9" s="1">
        <v>2</v>
      </c>
      <c r="G9" s="1" t="s">
        <v>101</v>
      </c>
      <c r="H9" s="1" t="s">
        <v>132</v>
      </c>
      <c r="I9" s="27">
        <v>7</v>
      </c>
      <c r="J9" s="28">
        <v>35</v>
      </c>
    </row>
    <row r="10" spans="2:10" x14ac:dyDescent="0.4">
      <c r="B10" s="1" t="s">
        <v>77</v>
      </c>
      <c r="C10" s="1" t="s">
        <v>135</v>
      </c>
      <c r="D10" s="1" t="s">
        <v>70</v>
      </c>
      <c r="E10" s="1">
        <v>93</v>
      </c>
      <c r="F10" s="1">
        <v>1</v>
      </c>
      <c r="G10" s="1" t="s">
        <v>128</v>
      </c>
      <c r="H10" s="1" t="s">
        <v>132</v>
      </c>
      <c r="I10" s="27">
        <v>4</v>
      </c>
      <c r="J10" s="28">
        <v>28</v>
      </c>
    </row>
    <row r="11" spans="2:10" x14ac:dyDescent="0.4">
      <c r="B11" s="1" t="s">
        <v>80</v>
      </c>
      <c r="C11" s="1" t="s">
        <v>66</v>
      </c>
      <c r="D11" s="1" t="s">
        <v>68</v>
      </c>
      <c r="E11" s="1">
        <v>93</v>
      </c>
      <c r="F11" s="1">
        <v>4</v>
      </c>
      <c r="G11" s="1" t="s">
        <v>130</v>
      </c>
      <c r="H11" s="1" t="s">
        <v>132</v>
      </c>
      <c r="I11" s="27">
        <v>4</v>
      </c>
      <c r="J11" s="28">
        <v>24</v>
      </c>
    </row>
    <row r="12" spans="2:10" x14ac:dyDescent="0.4">
      <c r="B12" s="1" t="s">
        <v>81</v>
      </c>
      <c r="C12" s="1" t="s">
        <v>59</v>
      </c>
      <c r="D12" s="1" t="s">
        <v>68</v>
      </c>
      <c r="E12" s="1">
        <v>50</v>
      </c>
      <c r="F12" s="1">
        <v>2</v>
      </c>
      <c r="G12" s="1" t="s">
        <v>101</v>
      </c>
      <c r="H12" s="1" t="s">
        <v>132</v>
      </c>
      <c r="I12" s="27">
        <v>3</v>
      </c>
      <c r="J12" s="28">
        <v>18</v>
      </c>
    </row>
    <row r="13" spans="2:10" x14ac:dyDescent="0.4">
      <c r="B13" s="1" t="s">
        <v>83</v>
      </c>
      <c r="C13" s="1" t="s">
        <v>46</v>
      </c>
      <c r="D13" s="1" t="s">
        <v>68</v>
      </c>
      <c r="E13" s="1">
        <v>65</v>
      </c>
      <c r="F13" s="1">
        <v>1</v>
      </c>
      <c r="G13" s="1" t="s">
        <v>128</v>
      </c>
      <c r="H13" s="1" t="s">
        <v>132</v>
      </c>
      <c r="I13" s="27">
        <v>5</v>
      </c>
      <c r="J13" s="28">
        <v>20</v>
      </c>
    </row>
    <row r="14" spans="2:10" x14ac:dyDescent="0.4">
      <c r="B14" s="1" t="s">
        <v>89</v>
      </c>
      <c r="C14" s="1" t="s">
        <v>52</v>
      </c>
      <c r="D14" s="1" t="s">
        <v>68</v>
      </c>
      <c r="E14" s="1">
        <v>89</v>
      </c>
      <c r="F14" s="1">
        <v>2</v>
      </c>
      <c r="G14" s="1" t="s">
        <v>130</v>
      </c>
      <c r="H14" s="1" t="s">
        <v>132</v>
      </c>
      <c r="I14" s="27">
        <v>6</v>
      </c>
      <c r="J14" s="28">
        <v>36</v>
      </c>
    </row>
    <row r="15" spans="2:10" x14ac:dyDescent="0.4">
      <c r="B15" s="1" t="s">
        <v>72</v>
      </c>
      <c r="C15" s="1" t="s">
        <v>63</v>
      </c>
      <c r="D15" s="1" t="s">
        <v>70</v>
      </c>
      <c r="E15" s="1">
        <v>67</v>
      </c>
      <c r="F15" s="1">
        <v>1</v>
      </c>
      <c r="G15" s="1" t="s">
        <v>128</v>
      </c>
      <c r="H15" s="1" t="s">
        <v>129</v>
      </c>
      <c r="I15" s="27">
        <v>4</v>
      </c>
      <c r="J15" s="28">
        <v>40</v>
      </c>
    </row>
    <row r="16" spans="2:10" x14ac:dyDescent="0.4">
      <c r="B16" s="1" t="s">
        <v>73</v>
      </c>
      <c r="C16" s="1" t="s">
        <v>65</v>
      </c>
      <c r="D16" s="1" t="s">
        <v>68</v>
      </c>
      <c r="E16" s="1">
        <v>84</v>
      </c>
      <c r="F16" s="1">
        <v>3</v>
      </c>
      <c r="G16" s="1" t="s">
        <v>130</v>
      </c>
      <c r="H16" s="1" t="s">
        <v>129</v>
      </c>
      <c r="I16" s="27">
        <v>1</v>
      </c>
      <c r="J16" s="28">
        <v>4</v>
      </c>
    </row>
    <row r="17" spans="2:10" x14ac:dyDescent="0.4">
      <c r="B17" s="1" t="s">
        <v>79</v>
      </c>
      <c r="C17" s="1" t="s">
        <v>53</v>
      </c>
      <c r="D17" s="1" t="s">
        <v>70</v>
      </c>
      <c r="E17" s="1">
        <v>80</v>
      </c>
      <c r="F17" s="1">
        <v>4</v>
      </c>
      <c r="G17" s="1" t="s">
        <v>130</v>
      </c>
      <c r="H17" s="1" t="s">
        <v>129</v>
      </c>
      <c r="I17" s="27">
        <v>2</v>
      </c>
      <c r="J17" s="28">
        <v>12</v>
      </c>
    </row>
    <row r="18" spans="2:10" x14ac:dyDescent="0.4">
      <c r="B18" s="1" t="s">
        <v>82</v>
      </c>
      <c r="C18" s="1" t="s">
        <v>136</v>
      </c>
      <c r="D18" s="1" t="s">
        <v>70</v>
      </c>
      <c r="E18" s="1">
        <v>95</v>
      </c>
      <c r="F18" s="1">
        <v>1</v>
      </c>
      <c r="G18" s="1" t="s">
        <v>130</v>
      </c>
      <c r="H18" s="1" t="s">
        <v>129</v>
      </c>
      <c r="I18" s="27">
        <v>3</v>
      </c>
      <c r="J18" s="28">
        <v>27</v>
      </c>
    </row>
    <row r="19" spans="2:10" x14ac:dyDescent="0.4">
      <c r="B19" s="1" t="s">
        <v>85</v>
      </c>
      <c r="C19" s="1" t="s">
        <v>45</v>
      </c>
      <c r="D19" s="1" t="s">
        <v>68</v>
      </c>
      <c r="E19" s="1">
        <v>82</v>
      </c>
      <c r="F19" s="1">
        <v>1</v>
      </c>
      <c r="G19" s="1" t="s">
        <v>101</v>
      </c>
      <c r="H19" s="1" t="s">
        <v>129</v>
      </c>
      <c r="I19" s="27">
        <v>6</v>
      </c>
      <c r="J19" s="28">
        <v>54</v>
      </c>
    </row>
    <row r="20" spans="2:10" x14ac:dyDescent="0.4">
      <c r="B20" s="1" t="s">
        <v>86</v>
      </c>
      <c r="C20" s="1" t="s">
        <v>49</v>
      </c>
      <c r="D20" s="1" t="s">
        <v>68</v>
      </c>
      <c r="E20" s="1">
        <v>51</v>
      </c>
      <c r="F20" s="1">
        <v>2</v>
      </c>
      <c r="G20" s="1" t="s">
        <v>101</v>
      </c>
      <c r="H20" s="1" t="s">
        <v>129</v>
      </c>
      <c r="I20" s="27">
        <v>2</v>
      </c>
      <c r="J20" s="28">
        <v>16</v>
      </c>
    </row>
    <row r="21" spans="2:10" x14ac:dyDescent="0.4">
      <c r="B21" s="1" t="s">
        <v>95</v>
      </c>
      <c r="C21" s="1" t="s">
        <v>62</v>
      </c>
      <c r="D21" s="1" t="s">
        <v>68</v>
      </c>
      <c r="E21" s="1">
        <v>77</v>
      </c>
      <c r="F21" s="1">
        <v>1</v>
      </c>
      <c r="G21" s="1" t="s">
        <v>130</v>
      </c>
      <c r="H21" s="1" t="s">
        <v>129</v>
      </c>
      <c r="I21" s="27">
        <v>7</v>
      </c>
      <c r="J21" s="28">
        <v>70</v>
      </c>
    </row>
    <row r="22" spans="2:10" x14ac:dyDescent="0.4">
      <c r="B22" s="1" t="s">
        <v>76</v>
      </c>
      <c r="C22" s="1" t="s">
        <v>42</v>
      </c>
      <c r="D22" s="1" t="s">
        <v>68</v>
      </c>
      <c r="E22" s="1">
        <v>81</v>
      </c>
      <c r="F22" s="1">
        <v>5</v>
      </c>
      <c r="G22" s="1" t="s">
        <v>130</v>
      </c>
      <c r="H22" s="1" t="s">
        <v>134</v>
      </c>
      <c r="I22" s="27">
        <v>4</v>
      </c>
      <c r="J22" s="28">
        <v>24</v>
      </c>
    </row>
    <row r="23" spans="2:10" x14ac:dyDescent="0.4">
      <c r="B23" s="1" t="s">
        <v>87</v>
      </c>
      <c r="C23" s="1" t="s">
        <v>44</v>
      </c>
      <c r="D23" s="1" t="s">
        <v>68</v>
      </c>
      <c r="E23" s="1">
        <v>83</v>
      </c>
      <c r="F23" s="1">
        <v>1</v>
      </c>
      <c r="G23" s="1" t="s">
        <v>128</v>
      </c>
      <c r="H23" s="1" t="s">
        <v>134</v>
      </c>
      <c r="I23" s="27">
        <v>1</v>
      </c>
      <c r="J23" s="28">
        <v>4</v>
      </c>
    </row>
    <row r="24" spans="2:10" x14ac:dyDescent="0.4">
      <c r="B24" s="1" t="s">
        <v>88</v>
      </c>
      <c r="C24" s="1" t="s">
        <v>61</v>
      </c>
      <c r="D24" s="1" t="s">
        <v>70</v>
      </c>
      <c r="E24" s="1">
        <v>56</v>
      </c>
      <c r="F24" s="1">
        <v>1</v>
      </c>
      <c r="G24" s="1" t="s">
        <v>128</v>
      </c>
      <c r="H24" s="1" t="s">
        <v>134</v>
      </c>
      <c r="I24" s="27">
        <v>6</v>
      </c>
      <c r="J24" s="28">
        <v>54</v>
      </c>
    </row>
    <row r="25" spans="2:10" x14ac:dyDescent="0.4">
      <c r="B25" s="1" t="s">
        <v>90</v>
      </c>
      <c r="C25" s="1" t="s">
        <v>56</v>
      </c>
      <c r="D25" s="1" t="s">
        <v>68</v>
      </c>
      <c r="E25" s="1">
        <v>88</v>
      </c>
      <c r="F25" s="1">
        <v>5</v>
      </c>
      <c r="G25" s="1" t="s">
        <v>128</v>
      </c>
      <c r="H25" s="1" t="s">
        <v>134</v>
      </c>
      <c r="I25" s="27">
        <v>7</v>
      </c>
      <c r="J25" s="28">
        <v>28</v>
      </c>
    </row>
    <row r="26" spans="2:10" x14ac:dyDescent="0.4">
      <c r="B26" s="1" t="s">
        <v>91</v>
      </c>
      <c r="C26" s="1" t="s">
        <v>64</v>
      </c>
      <c r="D26" s="1" t="s">
        <v>68</v>
      </c>
      <c r="E26" s="1">
        <v>64</v>
      </c>
      <c r="F26" s="1">
        <v>5</v>
      </c>
      <c r="G26" s="1" t="s">
        <v>130</v>
      </c>
      <c r="H26" s="1" t="s">
        <v>134</v>
      </c>
      <c r="I26" s="27">
        <v>2</v>
      </c>
      <c r="J26" s="28">
        <v>8</v>
      </c>
    </row>
    <row r="27" spans="2:10" x14ac:dyDescent="0.4">
      <c r="B27" s="1" t="s">
        <v>92</v>
      </c>
      <c r="C27" s="1" t="s">
        <v>48</v>
      </c>
      <c r="D27" s="1" t="s">
        <v>68</v>
      </c>
      <c r="E27" s="1">
        <v>89</v>
      </c>
      <c r="F27" s="1">
        <v>3</v>
      </c>
      <c r="G27" s="1" t="s">
        <v>128</v>
      </c>
      <c r="H27" s="1" t="s">
        <v>134</v>
      </c>
      <c r="I27" s="27">
        <v>1</v>
      </c>
      <c r="J27" s="28">
        <v>4</v>
      </c>
    </row>
    <row r="28" spans="2:10" x14ac:dyDescent="0.4">
      <c r="B28" s="1" t="s">
        <v>93</v>
      </c>
      <c r="C28" s="1" t="s">
        <v>67</v>
      </c>
      <c r="D28" s="1" t="s">
        <v>68</v>
      </c>
      <c r="E28" s="1">
        <v>53</v>
      </c>
      <c r="F28" s="1">
        <v>1</v>
      </c>
      <c r="G28" s="1" t="s">
        <v>128</v>
      </c>
      <c r="H28" s="1" t="s">
        <v>134</v>
      </c>
      <c r="I28" s="27">
        <v>5</v>
      </c>
      <c r="J28" s="28">
        <v>45</v>
      </c>
    </row>
  </sheetData>
  <phoneticPr fontId="1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 xr:uid="{00000000-0002-0000-0600-000000000000}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3:J27"/>
  <sheetViews>
    <sheetView workbookViewId="0">
      <selection activeCell="E22" sqref="E22"/>
    </sheetView>
  </sheetViews>
  <sheetFormatPr defaultRowHeight="17.399999999999999" x14ac:dyDescent="0.4"/>
  <cols>
    <col min="1" max="1" width="2.59765625" customWidth="1"/>
    <col min="2" max="3" width="12.3984375" customWidth="1"/>
    <col min="4" max="4" width="11.69921875" customWidth="1"/>
    <col min="5" max="5" width="9.3984375" customWidth="1"/>
    <col min="6" max="6" width="10.59765625" customWidth="1"/>
    <col min="7" max="7" width="11.69921875" customWidth="1"/>
    <col min="8" max="8" width="11.09765625" customWidth="1"/>
    <col min="9" max="9" width="3" customWidth="1"/>
    <col min="10" max="10" width="10.8984375" customWidth="1"/>
    <col min="11" max="11" width="9.8984375" customWidth="1"/>
  </cols>
  <sheetData>
    <row r="3" spans="2:10" x14ac:dyDescent="0.4">
      <c r="B3" s="6" t="s">
        <v>41</v>
      </c>
    </row>
    <row r="4" spans="2:10" x14ac:dyDescent="0.4">
      <c r="B4" s="5" t="s">
        <v>1</v>
      </c>
      <c r="C4" s="5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7</v>
      </c>
      <c r="J4" s="5" t="s">
        <v>28</v>
      </c>
    </row>
    <row r="5" spans="2:10" x14ac:dyDescent="0.4">
      <c r="B5" s="2" t="s">
        <v>138</v>
      </c>
      <c r="C5" s="2" t="s">
        <v>139</v>
      </c>
      <c r="D5" s="2" t="s">
        <v>140</v>
      </c>
      <c r="E5" s="2">
        <v>50</v>
      </c>
      <c r="F5" s="2">
        <v>5</v>
      </c>
      <c r="G5" s="2" t="s">
        <v>130</v>
      </c>
      <c r="H5" s="2" t="s">
        <v>129</v>
      </c>
      <c r="J5" s="2" t="s">
        <v>0</v>
      </c>
    </row>
    <row r="6" spans="2:10" x14ac:dyDescent="0.4">
      <c r="B6" s="2" t="s">
        <v>141</v>
      </c>
      <c r="C6" s="2" t="s">
        <v>142</v>
      </c>
      <c r="D6" s="2" t="s">
        <v>143</v>
      </c>
      <c r="E6" s="2">
        <v>92</v>
      </c>
      <c r="F6" s="2">
        <v>2</v>
      </c>
      <c r="G6" s="2" t="s">
        <v>101</v>
      </c>
      <c r="H6" s="2" t="s">
        <v>129</v>
      </c>
      <c r="J6" s="2" t="s">
        <v>14</v>
      </c>
    </row>
    <row r="7" spans="2:10" x14ac:dyDescent="0.4">
      <c r="B7" s="2"/>
      <c r="C7" s="2"/>
      <c r="D7" s="2"/>
      <c r="E7" s="2"/>
      <c r="F7" s="2"/>
      <c r="G7" s="2"/>
      <c r="H7" s="2"/>
      <c r="J7" s="2" t="s">
        <v>19</v>
      </c>
    </row>
    <row r="8" spans="2:10" x14ac:dyDescent="0.4">
      <c r="B8" s="2"/>
      <c r="C8" s="2"/>
      <c r="D8" s="2"/>
      <c r="E8" s="2"/>
      <c r="F8" s="2"/>
      <c r="G8" s="2"/>
      <c r="H8" s="2"/>
    </row>
    <row r="9" spans="2:10" x14ac:dyDescent="0.4">
      <c r="B9" s="2"/>
      <c r="C9" s="2"/>
      <c r="D9" s="2"/>
      <c r="E9" s="2"/>
      <c r="F9" s="2"/>
      <c r="G9" s="2"/>
      <c r="H9" s="2"/>
      <c r="J9" s="5" t="s">
        <v>7</v>
      </c>
    </row>
    <row r="10" spans="2:10" x14ac:dyDescent="0.4">
      <c r="B10" s="2"/>
      <c r="C10" s="2"/>
      <c r="D10" s="2"/>
      <c r="E10" s="2"/>
      <c r="F10" s="2"/>
      <c r="G10" s="2"/>
      <c r="H10" s="2"/>
      <c r="J10" s="2" t="s">
        <v>15</v>
      </c>
    </row>
    <row r="11" spans="2:10" x14ac:dyDescent="0.4">
      <c r="B11" s="2"/>
      <c r="C11" s="2"/>
      <c r="D11" s="2"/>
      <c r="E11" s="2"/>
      <c r="F11" s="2"/>
      <c r="G11" s="2"/>
      <c r="H11" s="2"/>
      <c r="J11" s="2" t="s">
        <v>17</v>
      </c>
    </row>
    <row r="12" spans="2:10" x14ac:dyDescent="0.4">
      <c r="B12" s="2"/>
      <c r="C12" s="2"/>
      <c r="D12" s="2"/>
      <c r="E12" s="2"/>
      <c r="F12" s="2"/>
      <c r="G12" s="2"/>
      <c r="H12" s="2"/>
      <c r="J12" s="2" t="s">
        <v>20</v>
      </c>
    </row>
    <row r="13" spans="2:10" x14ac:dyDescent="0.4">
      <c r="B13" s="2"/>
      <c r="C13" s="2"/>
      <c r="D13" s="2"/>
      <c r="E13" s="2"/>
      <c r="F13" s="2"/>
      <c r="G13" s="2"/>
      <c r="H13" s="2"/>
      <c r="J13" s="2" t="s">
        <v>22</v>
      </c>
    </row>
    <row r="14" spans="2:10" x14ac:dyDescent="0.4">
      <c r="B14" s="2"/>
      <c r="C14" s="2"/>
      <c r="D14" s="2"/>
      <c r="E14" s="2"/>
      <c r="F14" s="2"/>
      <c r="G14" s="2"/>
      <c r="H14" s="2"/>
    </row>
    <row r="15" spans="2:10" x14ac:dyDescent="0.4">
      <c r="B15" s="2"/>
      <c r="C15" s="2"/>
      <c r="D15" s="2"/>
      <c r="E15" s="2"/>
      <c r="F15" s="2"/>
      <c r="G15" s="2"/>
      <c r="H15" s="2"/>
    </row>
    <row r="16" spans="2:10" x14ac:dyDescent="0.4">
      <c r="B16" s="2"/>
      <c r="C16" s="2"/>
      <c r="D16" s="2"/>
      <c r="E16" s="2"/>
      <c r="F16" s="2"/>
      <c r="G16" s="2"/>
      <c r="H16" s="2"/>
    </row>
    <row r="17" spans="2:8" x14ac:dyDescent="0.4">
      <c r="B17" s="5"/>
      <c r="C17" s="5"/>
      <c r="D17" s="5"/>
      <c r="E17" s="5"/>
      <c r="F17" s="5"/>
      <c r="G17" s="5"/>
      <c r="H17" s="5"/>
    </row>
    <row r="18" spans="2:8" x14ac:dyDescent="0.4">
      <c r="B18" s="2"/>
      <c r="C18" s="2"/>
      <c r="D18" s="2"/>
      <c r="E18" s="2"/>
      <c r="F18" s="2"/>
      <c r="G18" s="2"/>
      <c r="H18" s="2"/>
    </row>
    <row r="19" spans="2:8" x14ac:dyDescent="0.4">
      <c r="B19" s="2"/>
      <c r="C19" s="2"/>
      <c r="D19" s="2"/>
      <c r="E19" s="2"/>
      <c r="F19" s="2"/>
      <c r="G19" s="2"/>
      <c r="H19" s="2"/>
    </row>
    <row r="20" spans="2:8" x14ac:dyDescent="0.4">
      <c r="B20" s="2"/>
      <c r="C20" s="2"/>
      <c r="D20" s="2"/>
      <c r="E20" s="2"/>
      <c r="F20" s="2"/>
      <c r="G20" s="2"/>
      <c r="H20" s="2"/>
    </row>
    <row r="21" spans="2:8" x14ac:dyDescent="0.4">
      <c r="B21" s="2"/>
      <c r="C21" s="2"/>
      <c r="D21" s="2"/>
      <c r="E21" s="2"/>
      <c r="F21" s="2"/>
      <c r="G21" s="2"/>
      <c r="H21" s="2"/>
    </row>
    <row r="22" spans="2:8" x14ac:dyDescent="0.4">
      <c r="B22" s="2"/>
      <c r="C22" s="2"/>
      <c r="D22" s="2"/>
      <c r="E22" s="2"/>
      <c r="F22" s="2"/>
      <c r="G22" s="2"/>
      <c r="H22" s="2"/>
    </row>
    <row r="23" spans="2:8" x14ac:dyDescent="0.4">
      <c r="B23" s="2"/>
      <c r="C23" s="2"/>
      <c r="D23" s="2"/>
      <c r="E23" s="2"/>
      <c r="F23" s="2"/>
      <c r="G23" s="2"/>
      <c r="H23" s="2"/>
    </row>
    <row r="24" spans="2:8" x14ac:dyDescent="0.4">
      <c r="B24" s="2"/>
      <c r="C24" s="2"/>
      <c r="D24" s="2"/>
      <c r="E24" s="2"/>
      <c r="F24" s="2"/>
      <c r="G24" s="2"/>
      <c r="H24" s="2"/>
    </row>
    <row r="25" spans="2:8" x14ac:dyDescent="0.4">
      <c r="B25" s="2"/>
      <c r="C25" s="2"/>
      <c r="D25" s="2"/>
      <c r="E25" s="2"/>
      <c r="F25" s="2"/>
      <c r="G25" s="2"/>
      <c r="H25" s="2"/>
    </row>
    <row r="26" spans="2:8" x14ac:dyDescent="0.4">
      <c r="B26" s="2"/>
      <c r="C26" s="2"/>
      <c r="D26" s="2"/>
      <c r="E26" s="2"/>
      <c r="F26" s="2"/>
      <c r="G26" s="2"/>
      <c r="H26" s="2"/>
    </row>
    <row r="27" spans="2:8" x14ac:dyDescent="0.4">
      <c r="B27" s="2"/>
      <c r="C27" s="2"/>
      <c r="D27" s="2"/>
      <c r="E27" s="2"/>
      <c r="F27" s="2"/>
      <c r="G27" s="2"/>
      <c r="H27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서비스신청">
          <controlPr defaultSize="0" autoLine="0" r:id="rId4">
            <anchor moveWithCells="1">
              <from>
                <xdr:col>7</xdr:col>
                <xdr:colOff>7620</xdr:colOff>
                <xdr:row>0</xdr:row>
                <xdr:rowOff>99060</xdr:rowOff>
              </from>
              <to>
                <xdr:col>8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8193" r:id="rId3" name="cmd서비스신청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E02B18-815B-48DA-B3A0-BCC6DE49D6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ylose</cp:lastModifiedBy>
  <cp:lastPrinted>2021-08-10T09:01:00Z</cp:lastPrinted>
  <dcterms:created xsi:type="dcterms:W3CDTF">2021-05-31T11:17:08Z</dcterms:created>
  <dcterms:modified xsi:type="dcterms:W3CDTF">2023-08-18T09:49:41Z</dcterms:modified>
</cp:coreProperties>
</file>